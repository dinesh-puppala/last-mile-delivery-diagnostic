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 Model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ERP Raw Export (Sample)" sheetId="6" state="visible" r:id="rId6"/>
    <sheet xmlns:r="http://schemas.openxmlformats.org/officeDocument/2006/relationships" name="Data Cleaning (Excel)" sheetId="7" state="visible" r:id="rId7"/>
    <sheet xmlns:r="http://schemas.openxmlformats.org/officeDocument/2006/relationships" name="SQL Diagnostic Summary" sheetId="8" state="visible" r:id="rId8"/>
  </sheets>
  <definedNames>
    <definedName name="_xlnm.Print_Area" localSheetId="4">'Dashboard'!$A$1:$H$31</definedName>
    <definedName name="_xlnm.Print_Area" localSheetId="7">'SQL Diagnostic Summary'!$A$1:$N$40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\$#,##0.00"/>
    <numFmt numFmtId="166" formatCode="\$#,##0"/>
    <numFmt numFmtId="167" formatCode="0.0\x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3864"/>
      <sz val="13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color rgb="FF333333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3" fontId="10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general" vertical="bottom"/>
    </xf>
    <xf numFmtId="166" fontId="12" fillId="4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left" vertical="center" wrapText="1"/>
    </xf>
    <xf numFmtId="9" fontId="12" fillId="5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general" vertical="bottom"/>
    </xf>
    <xf numFmtId="3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bottom"/>
    </xf>
    <xf numFmtId="164" fontId="7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3" fontId="10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general" vertical="bottom"/>
    </xf>
    <xf numFmtId="166" fontId="12" fillId="4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left" vertical="center" wrapText="1"/>
    </xf>
    <xf numFmtId="9" fontId="12" fillId="5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bottom"/>
    </xf>
    <xf numFmtId="3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bottom"/>
    </xf>
    <xf numFmtId="164" fontId="7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E4"/>
      <rgbColor rgb="FF4F81BD"/>
      <rgbColor rgb="FF33CCCC"/>
      <rgbColor rgb="FF9BBB59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Value Recovered by Scenario ($/yr)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Dashboard!$B$17:$B$19</f>
              <strCache>
                <ptCount val="3"/>
                <pt idx="0">
                  <v>Conservative</v>
                </pt>
                <pt idx="1">
                  <v>Moderate</v>
                </pt>
                <pt idx="2">
                  <v>Optimistic</v>
                </pt>
              </strCache>
            </strRef>
          </cat>
          <val>
            <numRef>
              <f>Dashboard!$C$17:$C$19</f>
              <numCache>
                <formatCode>\$#,##0</formatCode>
                <ptCount val="3"/>
                <pt idx="0">
                  <v>272469600</v>
                </pt>
                <pt idx="1">
                  <v>1546848000</v>
                </pt>
                <pt idx="2">
                  <v>5009544000</v>
                </pt>
              </numCache>
            </numRef>
          </val>
        </ser>
        <gapWidth val="150"/>
        <overlap val="0"/>
        <axId val="53201757"/>
        <axId val="9966663"/>
      </barChart>
      <catAx>
        <axId val="5320175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966663"/>
        <crosses val="autoZero"/>
        <auto val="1"/>
        <lblAlgn val="ctr"/>
        <lblOffset val="100"/>
        <noMultiLvlLbl val="0"/>
      </catAx>
      <valAx>
        <axId val="996666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$/yr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320175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Failure Root Cause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'SQL Diagnostic Summary'!C28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'SQL Diagnostic Summary'!$B$29:$B$31</f>
              <strCache>
                <ptCount val="3"/>
                <pt idx="0">
                  <v>CARRIER_DELAY</v>
                </pt>
                <pt idx="1">
                  <v>ADDR_ERR</v>
                </pt>
                <pt idx="2">
                  <v>CUST_UNAVAIL</v>
                </pt>
              </strCache>
            </strRef>
          </cat>
          <val>
            <numRef>
              <f>'SQL Diagnostic Summary'!$C$29:$C$31</f>
              <numCache>
                <formatCode>General</formatCode>
                <ptCount val="3"/>
                <pt idx="0">
                  <v>83</v>
                </pt>
                <pt idx="1">
                  <v>63</v>
                </pt>
                <pt idx="2">
                  <v>16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9</row>
      <rowOff>101160</rowOff>
    </from>
    <to>
      <col>7</col>
      <colOff>387360</colOff>
      <row>23</row>
      <rowOff>133200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0</colOff>
      <row>4</row>
      <rowOff>160560</rowOff>
    </from>
    <to>
      <col>12</col>
      <colOff>542160</colOff>
      <row>16</row>
      <rowOff>13320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1" min="1" max="1"/>
    <col width="100" customWidth="1" style="51" min="2" max="2"/>
  </cols>
  <sheetData>
    <row r="2" ht="15.75" customHeight="1" s="52">
      <c r="B2" s="53" t="inlineStr">
        <is>
          <t>Last-Mile Misdelivery: Cost Impact &amp; Verification ROI Model</t>
        </is>
      </c>
    </row>
    <row r="3" ht="15.75" customHeight="1" s="52">
      <c r="B3" s="54" t="inlineStr">
        <is>
          <t>Supply chain / operations analysis  •  Portfolio project</t>
        </is>
      </c>
    </row>
    <row r="4" ht="15.75" customHeight="1" s="52"/>
    <row r="5" ht="15.75" customHeight="1" s="52">
      <c r="B5" s="55" t="inlineStr">
        <is>
          <t>PURPOSE</t>
        </is>
      </c>
    </row>
    <row r="6" ht="45.75" customHeight="1" s="52">
      <c r="B6" s="56" t="inlineStr">
        <is>
          <t>Wrong-address deliveries are one of the most persistent and costly failures in last-mile logistics. This model quantifies the annual cost of address-caused delivery failures across the US parcel market, then estimates how much of that cost a doorstep verification system could recover under conservative, moderate, and optimistic assumptions. It is a decision-support tool: it turns a known operational pain point into sized, defensible numbers.</t>
        </is>
      </c>
    </row>
    <row r="7" ht="15.75" customHeight="1" s="52"/>
    <row r="8" ht="15.75" customHeight="1" s="52">
      <c r="B8" s="55" t="inlineStr">
        <is>
          <t>METHODOLOGY</t>
        </is>
      </c>
    </row>
    <row r="9" ht="30" customHeight="1" s="52">
      <c r="B9" s="56" t="inlineStr">
        <is>
          <t>1. Establish the addressable problem: parcel volume x first-attempt failure rate x share of failures caused by address/location errors x cost per failed delivery.</t>
        </is>
      </c>
    </row>
    <row r="10" ht="30" customHeight="1" s="52">
      <c r="B10" s="56" t="inlineStr">
        <is>
          <t>2. Model a verification intervention: for the share of volume that adopts the system, estimate failures prevented (effectiveness) and value recovered, net of the system's operating cost.</t>
        </is>
      </c>
    </row>
    <row r="11" ht="30" customHeight="1" s="52">
      <c r="B11" s="56" t="inlineStr">
        <is>
          <t>3. Stress-test the result across adoption and effectiveness levels (Scenarios tab) so the conclusion does not depend on best-case assumptions.</t>
        </is>
      </c>
    </row>
    <row r="12" ht="15.75" customHeight="1" s="52"/>
    <row r="13" ht="15.75" customHeight="1" s="52">
      <c r="B13" s="55" t="inlineStr">
        <is>
          <t>HOW TO USE</t>
        </is>
      </c>
    </row>
    <row r="14" ht="30" customHeight="1" s="52">
      <c r="B14" s="56" t="inlineStr">
        <is>
          <t>All inputs live on the Assumptions tab in blue. Change any blue cell and every downstream number and chart updates. Black = calculated in-sheet; green = pulled from another tab.</t>
        </is>
      </c>
    </row>
    <row r="15" ht="15.75" customHeight="1" s="52"/>
    <row r="16" ht="15.75" customHeight="1" s="52">
      <c r="B16" s="55" t="inlineStr">
        <is>
          <t>KEY SOURCES (verify and update before external use)</t>
        </is>
      </c>
    </row>
    <row r="17" ht="15.75" customHeight="1" s="52">
      <c r="B17" s="57" t="inlineStr">
        <is>
          <t>•  US parcel volume ~24.6B/yr (2026 est) — Pitney Bowes / SellersCommerce</t>
        </is>
      </c>
    </row>
    <row r="18" ht="15.75" customHeight="1" s="52">
      <c r="B18" s="57" t="inlineStr">
        <is>
          <t>•  First-attempt failure rate ~8% — Loqate / Harvard Business Review</t>
        </is>
      </c>
    </row>
    <row r="19" ht="15.75" customHeight="1" s="52">
      <c r="B19" s="57" t="inlineStr">
        <is>
          <t>•  ~45% of failures are address/location-caused — Shipsy (2024)</t>
        </is>
      </c>
    </row>
    <row r="20" ht="15.75" customHeight="1" s="52">
      <c r="B20" s="57" t="inlineStr">
        <is>
          <t>•  Cost per failed delivery ~$17.20 — Loqate</t>
        </is>
      </c>
    </row>
    <row r="21" ht="15.75" customHeight="1" s="52">
      <c r="B21" s="57" t="inlineStr">
        <is>
          <t>•  Verification effectiveness &amp; operating cost are ANALYST ASSUMPTIONS, not measured facts.</t>
        </is>
      </c>
    </row>
    <row r="22" ht="15.75" customHeight="1" s="52"/>
    <row r="23" ht="15.75" customHeight="1" s="52">
      <c r="B23" s="55" t="inlineStr">
        <is>
          <t>IMPORTANT NOTE</t>
        </is>
      </c>
    </row>
    <row r="24" ht="30" customHeight="1" s="52">
      <c r="B24" s="56" t="inlineStr">
        <is>
          <t>Benchmark figures are illustrative industry estimates gathered from public sources and should be re-verified before any external use. Effectiveness and cost-per-verification are modeling assumptions used to demonstrate methodology, not validated performance claims.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1" min="1" max="1"/>
    <col width="38" customWidth="1" style="51" min="2" max="2"/>
    <col width="16" customWidth="1" style="51" min="3" max="3"/>
    <col width="14" customWidth="1" style="51" min="4" max="4"/>
    <col width="52" customWidth="1" style="51" min="5" max="5"/>
  </cols>
  <sheetData>
    <row r="2" ht="17.25" customHeight="1" s="52">
      <c r="B2" s="58" t="inlineStr">
        <is>
          <t>Assumptions &amp; Inputs</t>
        </is>
      </c>
    </row>
    <row r="3" ht="15" customHeight="1" s="52">
      <c r="B3" s="59" t="inlineStr">
        <is>
          <t>Blue = editable input. Change these to drive the whole model.</t>
        </is>
      </c>
    </row>
    <row r="5" ht="15" customHeight="1" s="52">
      <c r="B5" s="60" t="inlineStr">
        <is>
          <t>Parameter</t>
        </is>
      </c>
      <c r="C5" s="61" t="inlineStr">
        <is>
          <t>Value</t>
        </is>
      </c>
      <c r="D5" s="61" t="inlineStr">
        <is>
          <t>Unit</t>
        </is>
      </c>
      <c r="E5" s="61" t="inlineStr">
        <is>
          <t>Source / Note</t>
        </is>
      </c>
    </row>
    <row r="6" ht="15" customHeight="1" s="52">
      <c r="B6" s="62" t="inlineStr">
        <is>
          <t>Annual US parcel volume</t>
        </is>
      </c>
      <c r="C6" s="63" t="n">
        <v>24600000000</v>
      </c>
      <c r="D6" s="64" t="inlineStr">
        <is>
          <t>parcels</t>
        </is>
      </c>
      <c r="E6" s="65" t="inlineStr">
        <is>
          <t>Pitney Bowes / SellersCommerce, 2026 est.</t>
        </is>
      </c>
    </row>
    <row r="7" ht="15" customHeight="1" s="52">
      <c r="B7" s="62" t="inlineStr">
        <is>
          <t>First-attempt failure rate</t>
        </is>
      </c>
      <c r="C7" s="66" t="n">
        <v>0.08</v>
      </c>
      <c r="D7" s="64" t="inlineStr">
        <is>
          <t>%</t>
        </is>
      </c>
      <c r="E7" s="65" t="inlineStr">
        <is>
          <t>Loqate / Harvard Business Review</t>
        </is>
      </c>
    </row>
    <row r="8" ht="15" customHeight="1" s="52">
      <c r="B8" s="62" t="inlineStr">
        <is>
          <t>Address-error share of failures</t>
        </is>
      </c>
      <c r="C8" s="66" t="n">
        <v>0.45</v>
      </c>
      <c r="D8" s="64" t="inlineStr">
        <is>
          <t>%</t>
        </is>
      </c>
      <c r="E8" s="65" t="inlineStr">
        <is>
          <t>Shipsy, 2024</t>
        </is>
      </c>
    </row>
    <row r="9" ht="15" customHeight="1" s="52">
      <c r="B9" s="62" t="inlineStr">
        <is>
          <t>Cost per failed delivery</t>
        </is>
      </c>
      <c r="C9" s="67" t="n">
        <v>17.2</v>
      </c>
      <c r="D9" s="64" t="inlineStr">
        <is>
          <t>$</t>
        </is>
      </c>
      <c r="E9" s="65" t="inlineStr">
        <is>
          <t>Loqate</t>
        </is>
      </c>
    </row>
    <row r="10" ht="21.75" customHeight="1" s="52">
      <c r="B10" s="62" t="inlineStr">
        <is>
          <t>Verification effectiveness (default)</t>
        </is>
      </c>
      <c r="C10" s="63" t="n">
        <v>0.7</v>
      </c>
      <c r="D10" s="64" t="inlineStr">
        <is>
          <t>% reduction</t>
        </is>
      </c>
      <c r="E10" s="65" t="inlineStr">
        <is>
          <t>ANALYST ASSUMPTION — reduction in address-caused failures on covered volume</t>
        </is>
      </c>
    </row>
    <row r="11" ht="21.75" customHeight="1" s="52">
      <c r="B11" s="62" t="inlineStr">
        <is>
          <t>Operating cost per verification</t>
        </is>
      </c>
      <c r="C11" s="67" t="n">
        <v>0.15</v>
      </c>
      <c r="D11" s="64" t="inlineStr">
        <is>
          <t>$</t>
        </is>
      </c>
      <c r="E11" s="65" t="inlineStr">
        <is>
          <t>ANALYST ASSUMPTION — NFC tag amortization + app/API integration per delivery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1" min="1" max="1"/>
    <col width="42" customWidth="1" style="51" min="2" max="2"/>
    <col width="22" customWidth="1" style="51" min="3" max="3"/>
    <col width="14" customWidth="1" style="51" min="4" max="4"/>
    <col width="40" customWidth="1" style="51" min="5" max="5"/>
  </cols>
  <sheetData>
    <row r="2" ht="17.25" customHeight="1" s="52">
      <c r="B2" s="58" t="inlineStr">
        <is>
          <t>Baseline: Sizing the Addressable Problem</t>
        </is>
      </c>
    </row>
    <row r="3" ht="15" customHeight="1" s="52">
      <c r="B3" s="59" t="inlineStr">
        <is>
          <t>The annual cost of address-caused delivery failures at current-state performance.</t>
        </is>
      </c>
    </row>
    <row r="5" ht="15" customHeight="1" s="52">
      <c r="B5" s="60" t="inlineStr">
        <is>
          <t>Line item</t>
        </is>
      </c>
      <c r="C5" s="61" t="inlineStr">
        <is>
          <t>Value</t>
        </is>
      </c>
      <c r="D5" s="61" t="inlineStr">
        <is>
          <t>Unit</t>
        </is>
      </c>
      <c r="E5" s="61" t="inlineStr">
        <is>
          <t>Basis</t>
        </is>
      </c>
    </row>
    <row r="6" ht="15" customHeight="1" s="52">
      <c r="B6" s="62" t="inlineStr">
        <is>
          <t>Annual US parcel volume</t>
        </is>
      </c>
      <c r="C6" s="68">
        <f>Assumptions!C6</f>
        <v/>
      </c>
      <c r="D6" s="64" t="inlineStr">
        <is>
          <t>parcels</t>
        </is>
      </c>
      <c r="E6" s="69" t="inlineStr">
        <is>
          <t>Input</t>
        </is>
      </c>
    </row>
    <row r="7" ht="15" customHeight="1" s="52">
      <c r="B7" s="62" t="inlineStr">
        <is>
          <t>First-attempt failure rate</t>
        </is>
      </c>
      <c r="C7" s="70">
        <f>Assumptions!C7</f>
        <v/>
      </c>
      <c r="D7" s="64" t="inlineStr">
        <is>
          <t>%</t>
        </is>
      </c>
      <c r="E7" s="69" t="inlineStr">
        <is>
          <t>Input</t>
        </is>
      </c>
    </row>
    <row r="8" ht="15" customHeight="1" s="52">
      <c r="B8" s="62" t="inlineStr">
        <is>
          <t>Total failed first attempts</t>
        </is>
      </c>
      <c r="C8" s="71">
        <f>C6*C7</f>
        <v/>
      </c>
      <c r="D8" s="64" t="inlineStr">
        <is>
          <t>deliveries</t>
        </is>
      </c>
      <c r="E8" s="69" t="inlineStr">
        <is>
          <t>Volume x failure rate</t>
        </is>
      </c>
    </row>
    <row r="9" ht="15" customHeight="1" s="52">
      <c r="B9" s="62" t="inlineStr">
        <is>
          <t>Address-error share of failures</t>
        </is>
      </c>
      <c r="C9" s="70">
        <f>Assumptions!C8</f>
        <v/>
      </c>
      <c r="D9" s="64" t="inlineStr">
        <is>
          <t>%</t>
        </is>
      </c>
      <c r="E9" s="69" t="inlineStr">
        <is>
          <t>Input</t>
        </is>
      </c>
    </row>
    <row r="10" ht="15" customHeight="1" s="52">
      <c r="B10" s="62" t="inlineStr">
        <is>
          <t>Address-caused failures (addressable)</t>
        </is>
      </c>
      <c r="C10" s="71">
        <f>C8*C9</f>
        <v/>
      </c>
      <c r="D10" s="64" t="inlineStr">
        <is>
          <t>deliveries</t>
        </is>
      </c>
      <c r="E10" s="69" t="inlineStr">
        <is>
          <t>Failures x address share</t>
        </is>
      </c>
    </row>
    <row r="11" ht="15" customHeight="1" s="52">
      <c r="B11" s="62" t="inlineStr">
        <is>
          <t>Cost per failed delivery</t>
        </is>
      </c>
      <c r="C11" s="72">
        <f>Assumptions!C9</f>
        <v/>
      </c>
      <c r="D11" s="64" t="inlineStr">
        <is>
          <t>$</t>
        </is>
      </c>
      <c r="E11" s="69" t="inlineStr">
        <is>
          <t>Input</t>
        </is>
      </c>
    </row>
    <row r="12" ht="15" customHeight="1" s="52">
      <c r="B12" s="62" t="inlineStr">
        <is>
          <t>ADDRESSABLE PROBLEM (annual cost)</t>
        </is>
      </c>
      <c r="C12" s="73">
        <f>C10*C11</f>
        <v/>
      </c>
      <c r="D12" s="64" t="inlineStr">
        <is>
          <t>$/yr</t>
        </is>
      </c>
      <c r="E12" s="69" t="inlineStr">
        <is>
          <t>Addressable failures x cost</t>
        </is>
      </c>
    </row>
    <row r="15" ht="27.75" customHeight="1" s="52">
      <c r="B15" s="57" t="inlineStr">
        <is>
          <t>Read: this is the pool of money currently lost each year to wrong-address failures — the ceiling on what any verification fix could recover.</t>
        </is>
      </c>
    </row>
  </sheetData>
  <mergeCells count="1">
    <mergeCell ref="B15:E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F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1" min="1" max="1"/>
    <col width="36" customWidth="1" style="51" min="2" max="2"/>
    <col width="16" customWidth="1" style="51" min="3" max="5"/>
    <col width="6" customWidth="1" style="51" min="6" max="6"/>
    <col width="40" customWidth="1" style="51" min="7" max="7"/>
  </cols>
  <sheetData>
    <row r="2" ht="17.25" customHeight="1" s="52">
      <c r="B2" s="58" t="inlineStr">
        <is>
          <t>Scenario Analysis: Value Recovered by a Verification System</t>
        </is>
      </c>
    </row>
    <row r="3" ht="15" customHeight="1" s="52">
      <c r="B3" s="59" t="inlineStr">
        <is>
          <t>Not all volume adopts, and no system is perfect. Three cases bracket the outcome.</t>
        </is>
      </c>
    </row>
    <row r="5" ht="15" customHeight="1" s="52">
      <c r="B5" s="74" t="inlineStr">
        <is>
          <t>Scenario inputs</t>
        </is>
      </c>
    </row>
    <row r="6" ht="15" customHeight="1" s="52">
      <c r="B6" s="60" t="n"/>
      <c r="C6" s="61" t="inlineStr">
        <is>
          <t>Conservative</t>
        </is>
      </c>
      <c r="D6" s="61" t="inlineStr">
        <is>
          <t>Moderate</t>
        </is>
      </c>
      <c r="E6" s="61" t="inlineStr">
        <is>
          <t>Optimistic</t>
        </is>
      </c>
    </row>
    <row r="7" ht="15" customHeight="1" s="52">
      <c r="B7" s="62" t="inlineStr">
        <is>
          <t>Adoption (share of volume covered)</t>
        </is>
      </c>
      <c r="C7" s="66" t="n">
        <v>0.05</v>
      </c>
      <c r="D7" s="66" t="n">
        <v>0.2</v>
      </c>
      <c r="E7" s="66" t="n">
        <v>0.5</v>
      </c>
    </row>
    <row r="8" ht="15" customHeight="1" s="52">
      <c r="B8" s="62" t="inlineStr">
        <is>
          <t>Effectiveness (reduction of address failures)</t>
        </is>
      </c>
      <c r="C8" s="66" t="n">
        <v>0.6</v>
      </c>
      <c r="D8" s="66" t="n">
        <v>0.75</v>
      </c>
      <c r="E8" s="66" t="n">
        <v>0.9</v>
      </c>
    </row>
    <row r="10" ht="15" customHeight="1" s="52">
      <c r="B10" s="74" t="inlineStr">
        <is>
          <t>Results</t>
        </is>
      </c>
    </row>
    <row r="11" ht="15" customHeight="1" s="52">
      <c r="B11" s="60" t="n"/>
      <c r="C11" s="61" t="inlineStr">
        <is>
          <t>Conservative</t>
        </is>
      </c>
      <c r="D11" s="61" t="inlineStr">
        <is>
          <t>Moderate</t>
        </is>
      </c>
      <c r="E11" s="61" t="inlineStr">
        <is>
          <t>Optimistic</t>
        </is>
      </c>
    </row>
    <row r="12" ht="15" customHeight="1" s="52">
      <c r="B12" s="62" t="inlineStr">
        <is>
          <t>Covered volume</t>
        </is>
      </c>
      <c r="C12" s="71">
        <f>Assumptions!$C$6*C7</f>
        <v/>
      </c>
      <c r="D12" s="71">
        <f>Assumptions!$C$6*D7</f>
        <v/>
      </c>
      <c r="E12" s="71">
        <f>Assumptions!$C$6*E7</f>
        <v/>
      </c>
    </row>
    <row r="13" ht="15" customHeight="1" s="52">
      <c r="B13" s="62" t="inlineStr">
        <is>
          <t>Address failures in covered volume</t>
        </is>
      </c>
      <c r="C13" s="71">
        <f>C12*Assumptions!$C$7*Assumptions!$C$8</f>
        <v/>
      </c>
      <c r="D13" s="71">
        <f>D12*Assumptions!$C$7*Assumptions!$C$8</f>
        <v/>
      </c>
      <c r="E13" s="71">
        <f>E12*Assumptions!$C$7*Assumptions!$C$8</f>
        <v/>
      </c>
    </row>
    <row r="14" ht="15" customHeight="1" s="52">
      <c r="B14" s="62" t="inlineStr">
        <is>
          <t>Failures prevented</t>
        </is>
      </c>
      <c r="C14" s="71">
        <f>C13*C8</f>
        <v/>
      </c>
      <c r="D14" s="71">
        <f>D13*D8</f>
        <v/>
      </c>
      <c r="E14" s="71">
        <f>E13*E8</f>
        <v/>
      </c>
    </row>
    <row r="15" ht="15" customHeight="1" s="52">
      <c r="B15" s="62" t="inlineStr">
        <is>
          <t>Value recovered ($/yr)</t>
        </is>
      </c>
      <c r="C15" s="75">
        <f>C14*Assumptions!$C$9</f>
        <v/>
      </c>
      <c r="D15" s="75">
        <f>D14*Assumptions!$C$9</f>
        <v/>
      </c>
      <c r="E15" s="75">
        <f>E14*Assumptions!$C$9</f>
        <v/>
      </c>
    </row>
    <row r="16" ht="15" customHeight="1" s="52">
      <c r="B16" s="62" t="inlineStr">
        <is>
          <t>System operating cost ($/yr)</t>
        </is>
      </c>
      <c r="C16" s="75">
        <f>C12*Assumptions!$C$11</f>
        <v/>
      </c>
      <c r="D16" s="75">
        <f>D12*Assumptions!$C$11</f>
        <v/>
      </c>
      <c r="E16" s="75">
        <f>E12*Assumptions!$C$11</f>
        <v/>
      </c>
    </row>
    <row r="17" ht="15" customHeight="1" s="52">
      <c r="B17" s="76" t="inlineStr">
        <is>
          <t>NET value recovered ($/yr)</t>
        </is>
      </c>
      <c r="C17" s="77">
        <f>C15-C16</f>
        <v/>
      </c>
      <c r="D17" s="77">
        <f>D15-D16</f>
        <v/>
      </c>
      <c r="E17" s="77">
        <f>E15-E16</f>
        <v/>
      </c>
    </row>
    <row r="18" ht="15" customHeight="1" s="52">
      <c r="B18" s="62" t="inlineStr">
        <is>
          <t>Benefit-cost ratio (recovered / cost)</t>
        </is>
      </c>
      <c r="C18" s="78">
        <f>C15/C16</f>
        <v/>
      </c>
      <c r="D18" s="78">
        <f>D15/D16</f>
        <v/>
      </c>
      <c r="E18" s="78">
        <f>E15/E16</f>
        <v/>
      </c>
    </row>
    <row r="21" ht="15" customHeight="1" s="52">
      <c r="B21" s="74" t="inlineStr">
        <is>
          <t>Sensitivity: NET value recovered ($/yr)</t>
        </is>
      </c>
    </row>
    <row r="22" ht="15" customHeight="1" s="52">
      <c r="B22" s="79" t="inlineStr">
        <is>
          <t>Rows = adoption  |  Columns = effectiveness</t>
        </is>
      </c>
    </row>
    <row r="23" ht="15" customHeight="1" s="52">
      <c r="B23" s="80" t="inlineStr">
        <is>
          <t>Adoption \ Effectiveness</t>
        </is>
      </c>
      <c r="C23" s="81" t="n">
        <v>0.6</v>
      </c>
      <c r="D23" s="81" t="n">
        <v>0.7</v>
      </c>
      <c r="E23" s="81" t="n">
        <v>0.8</v>
      </c>
      <c r="F23" s="81" t="n">
        <v>0.9</v>
      </c>
    </row>
    <row r="24" ht="15" customHeight="1" s="52">
      <c r="B24" s="81" t="n">
        <v>0.05</v>
      </c>
      <c r="C24" s="75">
        <f>(Assumptions!$C$6*$B24*Assumptions!$C$7*Assumptions!$C$8*C$23*Assumptions!$C$9)-(Assumptions!$C$6*$B24*Assumptions!$C$11)</f>
        <v/>
      </c>
      <c r="D24" s="75">
        <f>(Assumptions!$C$6*$B24*Assumptions!$C$7*Assumptions!$C$8*D$23*Assumptions!$C$9)-(Assumptions!$C$6*$B24*Assumptions!$C$11)</f>
        <v/>
      </c>
      <c r="E24" s="75">
        <f>(Assumptions!$C$6*$B24*Assumptions!$C$7*Assumptions!$C$8*E$23*Assumptions!$C$9)-(Assumptions!$C$6*$B24*Assumptions!$C$11)</f>
        <v/>
      </c>
      <c r="F24" s="75">
        <f>(Assumptions!$C$6*$B24*Assumptions!$C$7*Assumptions!$C$8*F$23*Assumptions!$C$9)-(Assumptions!$C$6*$B24*Assumptions!$C$11)</f>
        <v/>
      </c>
    </row>
    <row r="25" ht="15" customHeight="1" s="52">
      <c r="B25" s="81" t="n">
        <v>0.1</v>
      </c>
      <c r="C25" s="75">
        <f>(Assumptions!$C$6*$B25*Assumptions!$C$7*Assumptions!$C$8*C$23*Assumptions!$C$9)-(Assumptions!$C$6*$B25*Assumptions!$C$11)</f>
        <v/>
      </c>
      <c r="D25" s="75">
        <f>(Assumptions!$C$6*$B25*Assumptions!$C$7*Assumptions!$C$8*D$23*Assumptions!$C$9)-(Assumptions!$C$6*$B25*Assumptions!$C$11)</f>
        <v/>
      </c>
      <c r="E25" s="75">
        <f>(Assumptions!$C$6*$B25*Assumptions!$C$7*Assumptions!$C$8*E$23*Assumptions!$C$9)-(Assumptions!$C$6*$B25*Assumptions!$C$11)</f>
        <v/>
      </c>
      <c r="F25" s="75">
        <f>(Assumptions!$C$6*$B25*Assumptions!$C$7*Assumptions!$C$8*F$23*Assumptions!$C$9)-(Assumptions!$C$6*$B25*Assumptions!$C$11)</f>
        <v/>
      </c>
    </row>
    <row r="26" ht="15" customHeight="1" s="52">
      <c r="B26" s="81" t="n">
        <v>0.2</v>
      </c>
      <c r="C26" s="75">
        <f>(Assumptions!$C$6*$B26*Assumptions!$C$7*Assumptions!$C$8*C$23*Assumptions!$C$9)-(Assumptions!$C$6*$B26*Assumptions!$C$11)</f>
        <v/>
      </c>
      <c r="D26" s="75">
        <f>(Assumptions!$C$6*$B26*Assumptions!$C$7*Assumptions!$C$8*D$23*Assumptions!$C$9)-(Assumptions!$C$6*$B26*Assumptions!$C$11)</f>
        <v/>
      </c>
      <c r="E26" s="75">
        <f>(Assumptions!$C$6*$B26*Assumptions!$C$7*Assumptions!$C$8*E$23*Assumptions!$C$9)-(Assumptions!$C$6*$B26*Assumptions!$C$11)</f>
        <v/>
      </c>
      <c r="F26" s="75">
        <f>(Assumptions!$C$6*$B26*Assumptions!$C$7*Assumptions!$C$8*F$23*Assumptions!$C$9)-(Assumptions!$C$6*$B26*Assumptions!$C$11)</f>
        <v/>
      </c>
    </row>
    <row r="27" ht="15" customHeight="1" s="52">
      <c r="B27" s="81" t="n">
        <v>0.35</v>
      </c>
      <c r="C27" s="75">
        <f>(Assumptions!$C$6*$B27*Assumptions!$C$7*Assumptions!$C$8*C$23*Assumptions!$C$9)-(Assumptions!$C$6*$B27*Assumptions!$C$11)</f>
        <v/>
      </c>
      <c r="D27" s="75">
        <f>(Assumptions!$C$6*$B27*Assumptions!$C$7*Assumptions!$C$8*D$23*Assumptions!$C$9)-(Assumptions!$C$6*$B27*Assumptions!$C$11)</f>
        <v/>
      </c>
      <c r="E27" s="75">
        <f>(Assumptions!$C$6*$B27*Assumptions!$C$7*Assumptions!$C$8*E$23*Assumptions!$C$9)-(Assumptions!$C$6*$B27*Assumptions!$C$11)</f>
        <v/>
      </c>
      <c r="F27" s="75">
        <f>(Assumptions!$C$6*$B27*Assumptions!$C$7*Assumptions!$C$8*F$23*Assumptions!$C$9)-(Assumptions!$C$6*$B27*Assumptions!$C$11)</f>
        <v/>
      </c>
    </row>
    <row r="28" ht="15" customHeight="1" s="52">
      <c r="B28" s="81" t="n">
        <v>0.5</v>
      </c>
      <c r="C28" s="75">
        <f>(Assumptions!$C$6*$B28*Assumptions!$C$7*Assumptions!$C$8*C$23*Assumptions!$C$9)-(Assumptions!$C$6*$B28*Assumptions!$C$11)</f>
        <v/>
      </c>
      <c r="D28" s="75">
        <f>(Assumptions!$C$6*$B28*Assumptions!$C$7*Assumptions!$C$8*D$23*Assumptions!$C$9)-(Assumptions!$C$6*$B28*Assumptions!$C$11)</f>
        <v/>
      </c>
      <c r="E28" s="75">
        <f>(Assumptions!$C$6*$B28*Assumptions!$C$7*Assumptions!$C$8*E$23*Assumptions!$C$9)-(Assumptions!$C$6*$B28*Assumptions!$C$11)</f>
        <v/>
      </c>
      <c r="F28" s="75">
        <f>(Assumptions!$C$6*$B28*Assumptions!$C$7*Assumptions!$C$8*F$23*Assumptions!$C$9)-(Assumptions!$C$6*$B28*Assumptions!$C$11)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B2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1" min="1" max="1"/>
    <col width="34" customWidth="1" style="51" min="2" max="2"/>
    <col width="22" customWidth="1" style="51" min="3" max="3"/>
    <col width="4" customWidth="1" style="51" min="4" max="4"/>
    <col width="22" customWidth="1" style="51" min="5" max="7"/>
  </cols>
  <sheetData>
    <row r="2" ht="17.25" customHeight="1" s="52">
      <c r="B2" s="58" t="inlineStr">
        <is>
          <t>Dashboard — Headline Findings</t>
        </is>
      </c>
    </row>
    <row r="3" ht="15" customHeight="1" s="52">
      <c r="B3" s="59" t="inlineStr">
        <is>
          <t>US parcel market, annual basis. See Assumptions for inputs.</t>
        </is>
      </c>
    </row>
    <row r="5" ht="15" customHeight="1" s="52">
      <c r="B5" s="82" t="inlineStr">
        <is>
          <t>Addressable problem ($/yr)</t>
        </is>
      </c>
      <c r="E5" s="82" t="inlineStr">
        <is>
          <t>Moderate net recovered ($/yr)</t>
        </is>
      </c>
    </row>
    <row r="6" ht="17.25" customHeight="1" s="52">
      <c r="B6" s="83">
        <f>'Cost Model'!C12</f>
        <v/>
      </c>
      <c r="E6" s="83">
        <f>Scenarios!D17</f>
        <v/>
      </c>
    </row>
    <row r="8" ht="15" customHeight="1" s="52">
      <c r="B8" s="82" t="inlineStr">
        <is>
          <t>Moderate benefit-cost ratio</t>
        </is>
      </c>
      <c r="E8" s="82" t="inlineStr">
        <is>
          <t>Addressable failures (parcels/yr)</t>
        </is>
      </c>
    </row>
    <row r="9" ht="17.25" customHeight="1" s="52">
      <c r="B9" s="84">
        <f>Scenarios!D18</f>
        <v/>
      </c>
      <c r="E9" s="85">
        <f>'Cost Model'!C10</f>
        <v/>
      </c>
    </row>
    <row r="11" ht="15" customHeight="1" s="52">
      <c r="B11" s="74" t="inlineStr">
        <is>
          <t>First-attempt success rate</t>
        </is>
      </c>
    </row>
    <row r="12" ht="15" customHeight="1" s="52">
      <c r="B12" s="62" t="inlineStr">
        <is>
          <t>Current (baseline)</t>
        </is>
      </c>
      <c r="C12" s="86">
        <f>1-Assumptions!C7</f>
        <v/>
      </c>
    </row>
    <row r="13" ht="15" customHeight="1" s="52">
      <c r="B13" s="62" t="inlineStr">
        <is>
          <t>With verification (moderate adoption)</t>
        </is>
      </c>
      <c r="C13" s="86">
        <f>(1-Assumptions!C7)+(Scenarios!D14/Assumptions!C6)</f>
        <v/>
      </c>
    </row>
    <row r="16" ht="15" customHeight="1" s="52">
      <c r="B16" s="74" t="inlineStr">
        <is>
          <t>Net value recovered by scenario ($/yr)</t>
        </is>
      </c>
    </row>
    <row r="17" ht="15" customHeight="1" s="52">
      <c r="B17" s="62" t="inlineStr">
        <is>
          <t>Conservative</t>
        </is>
      </c>
      <c r="C17" s="75">
        <f>Scenarios!C17</f>
        <v/>
      </c>
    </row>
    <row r="18" ht="15" customHeight="1" s="52">
      <c r="B18" s="62" t="inlineStr">
        <is>
          <t>Moderate</t>
        </is>
      </c>
      <c r="C18" s="75">
        <f>Scenarios!D17</f>
        <v/>
      </c>
    </row>
    <row r="19" ht="15" customHeight="1" s="52">
      <c r="B19" s="62" t="inlineStr">
        <is>
          <t>Optimistic</t>
        </is>
      </c>
      <c r="C19" s="75">
        <f>Scenarios!E17</f>
        <v/>
      </c>
    </row>
    <row r="22" ht="15" customHeight="1" s="52">
      <c r="B22" s="74" t="inlineStr">
        <is>
          <t>Operational Diagnostic — Simulated ERP Data (1,000 deliveries)</t>
        </is>
      </c>
    </row>
    <row r="24" ht="15" customHeight="1" s="52">
      <c r="B24" s="87" t="inlineStr">
        <is>
          <t>First-Attempt Rate</t>
        </is>
      </c>
      <c r="D24" s="87" t="inlineStr">
        <is>
          <t>OTIF Rate</t>
        </is>
      </c>
      <c r="F24" s="87" t="inlineStr">
        <is>
          <t>Worst Failure Combo</t>
        </is>
      </c>
    </row>
    <row r="25" ht="16.15" customHeight="1" s="52">
      <c r="B25" s="88" t="n">
        <v>0.838</v>
      </c>
      <c r="D25" s="88" t="n">
        <v>0.746</v>
      </c>
      <c r="F25" s="89" t="n">
        <v>0.4571</v>
      </c>
    </row>
    <row r="27" ht="15" customHeight="1" s="52">
      <c r="B27" s="79" t="inlineStr">
        <is>
          <t>Worst-performing combination: Coastal Express in Southwest region</t>
        </is>
      </c>
    </row>
    <row r="28" ht="15" customHeight="1" s="52">
      <c r="B28" s="79" t="inlineStr">
        <is>
          <t>Top failure cause: CARRIER_DELAY (51.23% of all failures)</t>
        </is>
      </c>
    </row>
    <row r="29" ht="15" customHeight="1" s="52">
      <c r="B29" s="79" t="inlineStr">
        <is>
          <t>See 'SQL Diagnostic Summary' and 'Data Cleaning (Excel)' tabs for full methodology and query documentation.</t>
        </is>
      </c>
    </row>
  </sheetData>
  <mergeCells count="3">
    <mergeCell ref="B29:G29"/>
    <mergeCell ref="B28:G28"/>
    <mergeCell ref="B27:G27"/>
  </mergeCells>
  <printOptions horizontalCentered="0" verticalCentered="0" headings="0" gridLines="0" gridLinesSet="1"/>
  <pageMargins left="0.3" right="0.3" top="0.3" bottom="0.3" header="0.5" footer="0.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L1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51" min="1" max="1"/>
    <col width="12" customWidth="1" style="51" min="2" max="3"/>
    <col width="16" customWidth="1" style="51" min="4" max="4"/>
    <col width="18" customWidth="1" style="51" min="5" max="5"/>
    <col width="16" customWidth="1" style="51" min="6" max="6"/>
    <col width="20" customWidth="1" style="51" min="7" max="9"/>
    <col width="16" customWidth="1" style="51" min="10" max="10"/>
    <col width="14" customWidth="1" style="51" min="11" max="12"/>
  </cols>
  <sheetData>
    <row r="2" ht="17.35" customHeight="1" s="52">
      <c r="B2" s="58" t="inlineStr">
        <is>
          <t>Simulated SAP SD Delivery Export — Raw Pull</t>
        </is>
      </c>
    </row>
    <row r="3" ht="15" customHeight="1" s="52">
      <c r="B3" s="59" t="inlineStr">
        <is>
          <t>First 150 of 1,020 raw records as pulled from the ERP report, before cleaning. Note inconsistent date formats, casing, and duplicate rows — typical of a real export.</t>
        </is>
      </c>
    </row>
    <row r="5" ht="15" customHeight="1" s="52">
      <c r="B5" s="82" t="inlineStr">
        <is>
          <t>Delivery_ID</t>
        </is>
      </c>
      <c r="C5" s="82" t="inlineStr">
        <is>
          <t>Order_ID</t>
        </is>
      </c>
      <c r="D5" s="82" t="inlineStr">
        <is>
          <t>Region</t>
        </is>
      </c>
      <c r="E5" s="82" t="inlineStr">
        <is>
          <t>Carrier</t>
        </is>
      </c>
      <c r="F5" s="82" t="inlineStr">
        <is>
          <t>Ship_Date</t>
        </is>
      </c>
      <c r="G5" s="82" t="inlineStr">
        <is>
          <t>Promised_Delivery_Date</t>
        </is>
      </c>
      <c r="H5" s="82" t="inlineStr">
        <is>
          <t>Actual_Delivery_Date</t>
        </is>
      </c>
      <c r="I5" s="82" t="inlineStr">
        <is>
          <t>Delivery_Status</t>
        </is>
      </c>
      <c r="J5" s="82" t="inlineStr">
        <is>
          <t>Failure_Reason_Code</t>
        </is>
      </c>
      <c r="K5" s="82" t="inlineStr">
        <is>
          <t>Order_Complete</t>
        </is>
      </c>
      <c r="L5" s="82" t="inlineStr">
        <is>
          <t>Distance_Miles</t>
        </is>
      </c>
    </row>
    <row r="6" ht="15" customHeight="1" s="52">
      <c r="B6" s="90" t="n">
        <v>100000</v>
      </c>
      <c r="C6" s="90" t="n">
        <v>200000</v>
      </c>
      <c r="D6" s="90" t="inlineStr">
        <is>
          <t>Southeast</t>
        </is>
      </c>
      <c r="E6" s="90" t="inlineStr">
        <is>
          <t xml:space="preserve">  Apex Freight  </t>
        </is>
      </c>
      <c r="F6" s="90" t="inlineStr">
        <is>
          <t>2025-11-05</t>
        </is>
      </c>
      <c r="G6" s="90" t="inlineStr">
        <is>
          <t>11/08/2025</t>
        </is>
      </c>
      <c r="H6" s="90" t="inlineStr">
        <is>
          <t>11/08/2025</t>
        </is>
      </c>
      <c r="I6" s="90" t="inlineStr">
        <is>
          <t>Delivered</t>
        </is>
      </c>
      <c r="J6" s="90" t="n"/>
      <c r="K6" s="90" t="inlineStr">
        <is>
          <t>Y</t>
        </is>
      </c>
      <c r="L6" s="90" t="n">
        <v>47</v>
      </c>
    </row>
    <row r="7" ht="15" customHeight="1" s="52">
      <c r="B7" s="90" t="n">
        <v>100001</v>
      </c>
      <c r="C7" s="90" t="n">
        <v>200001</v>
      </c>
      <c r="D7" s="90" t="inlineStr">
        <is>
          <t>Northeast</t>
        </is>
      </c>
      <c r="E7" s="90" t="inlineStr">
        <is>
          <t>apex freight</t>
        </is>
      </c>
      <c r="F7" s="90" t="inlineStr">
        <is>
          <t>28-Oct-2025</t>
        </is>
      </c>
      <c r="G7" s="90" t="inlineStr">
        <is>
          <t>10/31/2025</t>
        </is>
      </c>
      <c r="H7" s="90" t="inlineStr">
        <is>
          <t>02-Nov-2025</t>
        </is>
      </c>
      <c r="I7" s="90" t="inlineStr">
        <is>
          <t>Delivered - Late</t>
        </is>
      </c>
      <c r="J7" s="90" t="n"/>
      <c r="K7" s="90" t="inlineStr">
        <is>
          <t>Y</t>
        </is>
      </c>
      <c r="L7" s="90" t="n">
        <v>573</v>
      </c>
    </row>
    <row r="8" ht="15" customHeight="1" s="52">
      <c r="B8" s="90" t="n">
        <v>100002</v>
      </c>
      <c r="C8" s="90" t="n">
        <v>200002</v>
      </c>
      <c r="D8" s="90" t="inlineStr">
        <is>
          <t>PACIFIC NORTHWEST</t>
        </is>
      </c>
      <c r="E8" s="90" t="inlineStr">
        <is>
          <t>Northline Logistics</t>
        </is>
      </c>
      <c r="F8" s="90" t="inlineStr">
        <is>
          <t>27-Nov-2025</t>
        </is>
      </c>
      <c r="G8" s="90" t="inlineStr">
        <is>
          <t>02-Dec-2025</t>
        </is>
      </c>
      <c r="H8" s="90" t="inlineStr">
        <is>
          <t>02-Dec-2025</t>
        </is>
      </c>
      <c r="I8" s="90" t="inlineStr">
        <is>
          <t>Delivered</t>
        </is>
      </c>
      <c r="J8" s="90" t="n"/>
      <c r="K8" s="90" t="inlineStr">
        <is>
          <t>Y</t>
        </is>
      </c>
      <c r="L8" s="90" t="n">
        <v>363</v>
      </c>
    </row>
    <row r="9" ht="15" customHeight="1" s="52">
      <c r="B9" s="90" t="n">
        <v>100003</v>
      </c>
      <c r="C9" s="90" t="n">
        <v>200003</v>
      </c>
      <c r="D9" s="90" t="inlineStr">
        <is>
          <t>West</t>
        </is>
      </c>
      <c r="E9" s="90" t="inlineStr">
        <is>
          <t>Northline Logistics</t>
        </is>
      </c>
      <c r="F9" s="90" t="inlineStr">
        <is>
          <t>28-Oct-2025</t>
        </is>
      </c>
      <c r="G9" s="90" t="inlineStr">
        <is>
          <t>31-Oct-2025</t>
        </is>
      </c>
      <c r="H9" s="90" t="n"/>
      <c r="I9" s="90" t="inlineStr">
        <is>
          <t>Failed - Carrier Delay</t>
        </is>
      </c>
      <c r="J9" s="90" t="inlineStr">
        <is>
          <t>CARRIER_DELAY</t>
        </is>
      </c>
      <c r="K9" s="90" t="n"/>
      <c r="L9" s="90" t="n">
        <v>404</v>
      </c>
    </row>
    <row r="10" ht="15" customHeight="1" s="52">
      <c r="B10" s="90" t="n">
        <v>100004</v>
      </c>
      <c r="C10" s="90" t="n">
        <v>200004</v>
      </c>
      <c r="D10" s="90" t="inlineStr">
        <is>
          <t>Southeast</t>
        </is>
      </c>
      <c r="E10" s="90" t="inlineStr">
        <is>
          <t>Coastal Express</t>
        </is>
      </c>
      <c r="F10" s="90" t="inlineStr">
        <is>
          <t>2025-11-14</t>
        </is>
      </c>
      <c r="G10" s="90" t="inlineStr">
        <is>
          <t>19-Nov-2025</t>
        </is>
      </c>
      <c r="H10" s="90" t="inlineStr">
        <is>
          <t>2025-11-23</t>
        </is>
      </c>
      <c r="I10" s="90" t="inlineStr">
        <is>
          <t>DELIVERED - LATE</t>
        </is>
      </c>
      <c r="J10" s="90" t="n"/>
      <c r="K10" s="90" t="inlineStr">
        <is>
          <t>Y</t>
        </is>
      </c>
      <c r="L10" s="90" t="n">
        <v>402</v>
      </c>
    </row>
    <row r="11" ht="15" customHeight="1" s="52">
      <c r="B11" s="90" t="n">
        <v>100005</v>
      </c>
      <c r="C11" s="90" t="n">
        <v>200005</v>
      </c>
      <c r="D11" s="90" t="inlineStr">
        <is>
          <t>Southeast</t>
        </is>
      </c>
      <c r="E11" s="90" t="inlineStr">
        <is>
          <t>Coastal Express</t>
        </is>
      </c>
      <c r="F11" s="90" t="inlineStr">
        <is>
          <t>12/20/2025</t>
        </is>
      </c>
      <c r="G11" s="90" t="inlineStr">
        <is>
          <t>12/25/2025</t>
        </is>
      </c>
      <c r="H11" s="90" t="inlineStr">
        <is>
          <t>12/25/2025</t>
        </is>
      </c>
      <c r="I11" s="90" t="inlineStr">
        <is>
          <t>Delivered</t>
        </is>
      </c>
      <c r="J11" s="90" t="n"/>
      <c r="K11" s="90" t="inlineStr">
        <is>
          <t>Y</t>
        </is>
      </c>
      <c r="L11" s="90" t="n">
        <v>61</v>
      </c>
    </row>
    <row r="12" ht="15" customHeight="1" s="52">
      <c r="B12" s="90" t="n">
        <v>100006</v>
      </c>
      <c r="C12" s="90" t="n">
        <v>200006</v>
      </c>
      <c r="D12" s="90" t="inlineStr">
        <is>
          <t>Southwest</t>
        </is>
      </c>
      <c r="E12" s="90" t="inlineStr">
        <is>
          <t>Coastal Express</t>
        </is>
      </c>
      <c r="F12" s="90" t="inlineStr">
        <is>
          <t>2025-10-11</t>
        </is>
      </c>
      <c r="G12" s="90" t="inlineStr">
        <is>
          <t>10/14/2025</t>
        </is>
      </c>
      <c r="H12" s="90" t="inlineStr">
        <is>
          <t>13-Oct-2025</t>
        </is>
      </c>
      <c r="I12" s="90" t="inlineStr">
        <is>
          <t>Delivered</t>
        </is>
      </c>
      <c r="J12" s="90" t="n"/>
      <c r="K12" s="90" t="inlineStr">
        <is>
          <t>Y</t>
        </is>
      </c>
      <c r="L12" s="90" t="n">
        <v>388</v>
      </c>
    </row>
    <row r="13" ht="15" customHeight="1" s="52">
      <c r="B13" s="90" t="n">
        <v>100007</v>
      </c>
      <c r="C13" s="90" t="n">
        <v>200007</v>
      </c>
      <c r="D13" s="90" t="inlineStr">
        <is>
          <t>Midwest</t>
        </is>
      </c>
      <c r="E13" s="90" t="inlineStr">
        <is>
          <t>Coastal Express</t>
        </is>
      </c>
      <c r="F13" s="90" t="inlineStr">
        <is>
          <t>11/15/2025</t>
        </is>
      </c>
      <c r="G13" s="90" t="inlineStr">
        <is>
          <t>11/18/2025</t>
        </is>
      </c>
      <c r="H13" s="90" t="inlineStr">
        <is>
          <t>2025-11-18</t>
        </is>
      </c>
      <c r="I13" s="90" t="inlineStr">
        <is>
          <t>Delivered</t>
        </is>
      </c>
      <c r="J13" s="90" t="n"/>
      <c r="K13" s="90" t="inlineStr">
        <is>
          <t>Y</t>
        </is>
      </c>
      <c r="L13" s="90" t="n">
        <v>190</v>
      </c>
    </row>
    <row r="14" ht="15" customHeight="1" s="52">
      <c r="B14" s="90" t="n">
        <v>100008</v>
      </c>
      <c r="C14" s="90" t="n">
        <v>200008</v>
      </c>
      <c r="D14" s="90" t="inlineStr">
        <is>
          <t>Southwest</t>
        </is>
      </c>
      <c r="E14" s="90" t="inlineStr">
        <is>
          <t>Northline Logistics</t>
        </is>
      </c>
      <c r="F14" s="90" t="inlineStr">
        <is>
          <t>2025-11-29</t>
        </is>
      </c>
      <c r="G14" s="90" t="inlineStr">
        <is>
          <t>12/03/2025</t>
        </is>
      </c>
      <c r="H14" s="90" t="inlineStr">
        <is>
          <t>12/03/2025</t>
        </is>
      </c>
      <c r="I14" s="90" t="inlineStr">
        <is>
          <t>Delivered</t>
        </is>
      </c>
      <c r="J14" s="90" t="n"/>
      <c r="K14" s="90" t="inlineStr">
        <is>
          <t>Y</t>
        </is>
      </c>
      <c r="L14" s="90" t="n">
        <v>72</v>
      </c>
    </row>
    <row r="15" ht="15" customHeight="1" s="52">
      <c r="B15" s="90" t="n">
        <v>100009</v>
      </c>
      <c r="C15" s="90" t="n">
        <v>200009</v>
      </c>
      <c r="D15" s="90" t="inlineStr">
        <is>
          <t>Southwest</t>
        </is>
      </c>
      <c r="E15" s="90" t="inlineStr">
        <is>
          <t>Apex Freight</t>
        </is>
      </c>
      <c r="F15" s="90" t="inlineStr">
        <is>
          <t>2025-11-10</t>
        </is>
      </c>
      <c r="G15" s="90" t="inlineStr">
        <is>
          <t>2025-11-14</t>
        </is>
      </c>
      <c r="H15" s="90" t="inlineStr">
        <is>
          <t>13-Nov-2025</t>
        </is>
      </c>
      <c r="I15" s="90" t="inlineStr">
        <is>
          <t>Delivered</t>
        </is>
      </c>
      <c r="J15" s="90" t="n"/>
      <c r="K15" s="90" t="inlineStr">
        <is>
          <t>Y</t>
        </is>
      </c>
      <c r="L15" s="90" t="n">
        <v>526</v>
      </c>
    </row>
    <row r="16" ht="15" customHeight="1" s="52">
      <c r="B16" s="90" t="n">
        <v>100010</v>
      </c>
      <c r="C16" s="90" t="n">
        <v>200010</v>
      </c>
      <c r="D16" s="90" t="inlineStr">
        <is>
          <t xml:space="preserve">  Pacific Northwest  </t>
        </is>
      </c>
      <c r="E16" s="90" t="inlineStr">
        <is>
          <t>Summit Carriers</t>
        </is>
      </c>
      <c r="F16" s="90" t="inlineStr">
        <is>
          <t>10/19/2025</t>
        </is>
      </c>
      <c r="G16" s="90" t="inlineStr">
        <is>
          <t>10/22/2025</t>
        </is>
      </c>
      <c r="H16" s="90" t="inlineStr">
        <is>
          <t>2025-10-21</t>
        </is>
      </c>
      <c r="I16" s="90" t="inlineStr">
        <is>
          <t>Delivered</t>
        </is>
      </c>
      <c r="J16" s="90" t="n"/>
      <c r="K16" s="90" t="inlineStr">
        <is>
          <t>Y</t>
        </is>
      </c>
      <c r="L16" s="90" t="n">
        <v>453</v>
      </c>
    </row>
    <row r="17" ht="15" customHeight="1" s="52">
      <c r="B17" s="90" t="n">
        <v>100011</v>
      </c>
      <c r="C17" s="90" t="n">
        <v>200011</v>
      </c>
      <c r="D17" s="90" t="inlineStr">
        <is>
          <t>Pacific Northwest</t>
        </is>
      </c>
      <c r="E17" s="90" t="inlineStr">
        <is>
          <t>Coastal Express</t>
        </is>
      </c>
      <c r="F17" s="90" t="inlineStr">
        <is>
          <t>2025-10-29</t>
        </is>
      </c>
      <c r="G17" s="90" t="inlineStr">
        <is>
          <t>2025-11-01</t>
        </is>
      </c>
      <c r="H17" s="90" t="inlineStr">
        <is>
          <t>01-Nov-2025</t>
        </is>
      </c>
      <c r="I17" s="90" t="inlineStr">
        <is>
          <t>Delivered</t>
        </is>
      </c>
      <c r="J17" s="90" t="n"/>
      <c r="K17" s="90" t="inlineStr">
        <is>
          <t>Y</t>
        </is>
      </c>
      <c r="L17" s="90" t="n">
        <v>171</v>
      </c>
    </row>
    <row r="18" ht="15" customHeight="1" s="52">
      <c r="B18" s="90" t="n">
        <v>100012</v>
      </c>
      <c r="C18" s="90" t="n">
        <v>200012</v>
      </c>
      <c r="D18" s="90" t="inlineStr">
        <is>
          <t>Midwest</t>
        </is>
      </c>
      <c r="E18" s="90" t="inlineStr">
        <is>
          <t>Summit Carriers</t>
        </is>
      </c>
      <c r="F18" s="90" t="inlineStr">
        <is>
          <t>16-Dec-2025</t>
        </is>
      </c>
      <c r="G18" s="90" t="inlineStr">
        <is>
          <t>12/18/2025</t>
        </is>
      </c>
      <c r="H18" s="90" t="inlineStr">
        <is>
          <t>12/17/2025</t>
        </is>
      </c>
      <c r="I18" s="90" t="inlineStr">
        <is>
          <t>Delivered</t>
        </is>
      </c>
      <c r="J18" s="90" t="n"/>
      <c r="K18" s="90" t="inlineStr">
        <is>
          <t>Y</t>
        </is>
      </c>
      <c r="L18" s="90" t="n">
        <v>581</v>
      </c>
    </row>
    <row r="19" ht="15" customHeight="1" s="52">
      <c r="B19" s="90" t="n">
        <v>100013</v>
      </c>
      <c r="C19" s="90" t="n">
        <v>200013</v>
      </c>
      <c r="D19" s="90" t="inlineStr">
        <is>
          <t>Northeast</t>
        </is>
      </c>
      <c r="E19" s="90" t="inlineStr">
        <is>
          <t>Apex Freight</t>
        </is>
      </c>
      <c r="F19" s="90" t="inlineStr">
        <is>
          <t>27-Dec-2025</t>
        </is>
      </c>
      <c r="G19" s="90" t="inlineStr">
        <is>
          <t>01/01/2026</t>
        </is>
      </c>
      <c r="H19" s="90" t="inlineStr">
        <is>
          <t>2025-12-31</t>
        </is>
      </c>
      <c r="I19" s="90" t="inlineStr">
        <is>
          <t>Delivered</t>
        </is>
      </c>
      <c r="J19" s="90" t="n"/>
      <c r="K19" s="90" t="inlineStr">
        <is>
          <t>Y</t>
        </is>
      </c>
      <c r="L19" s="90" t="n">
        <v>460</v>
      </c>
    </row>
    <row r="20" ht="15" customHeight="1" s="52">
      <c r="B20" s="90" t="n">
        <v>100014</v>
      </c>
      <c r="C20" s="90" t="n">
        <v>200014</v>
      </c>
      <c r="D20" s="90" t="inlineStr">
        <is>
          <t>Midwest</t>
        </is>
      </c>
      <c r="E20" s="90" t="inlineStr">
        <is>
          <t xml:space="preserve">  Summit Carriers  </t>
        </is>
      </c>
      <c r="F20" s="90" t="inlineStr">
        <is>
          <t>10/01/2025</t>
        </is>
      </c>
      <c r="G20" s="90" t="inlineStr">
        <is>
          <t>2025-10-04</t>
        </is>
      </c>
      <c r="H20" s="90" t="inlineStr">
        <is>
          <t>2025-10-04</t>
        </is>
      </c>
      <c r="I20" s="90" t="inlineStr">
        <is>
          <t>DELIVERED</t>
        </is>
      </c>
      <c r="J20" s="90" t="n"/>
      <c r="K20" s="90" t="inlineStr">
        <is>
          <t>Y</t>
        </is>
      </c>
      <c r="L20" s="90" t="n">
        <v>320</v>
      </c>
    </row>
    <row r="21" ht="15" customHeight="1" s="52">
      <c r="B21" s="90" t="n">
        <v>100015</v>
      </c>
      <c r="C21" s="90" t="n">
        <v>200015</v>
      </c>
      <c r="D21" s="90" t="inlineStr">
        <is>
          <t>Southwest</t>
        </is>
      </c>
      <c r="E21" s="90" t="inlineStr">
        <is>
          <t>Northline Logistics</t>
        </is>
      </c>
      <c r="F21" s="90" t="inlineStr">
        <is>
          <t>17-Nov-2025</t>
        </is>
      </c>
      <c r="G21" s="90" t="inlineStr">
        <is>
          <t>11/20/2025</t>
        </is>
      </c>
      <c r="H21" s="90" t="inlineStr">
        <is>
          <t>20-Nov-2025</t>
        </is>
      </c>
      <c r="I21" s="90" t="inlineStr">
        <is>
          <t>Delivered</t>
        </is>
      </c>
      <c r="J21" s="90" t="n"/>
      <c r="K21" s="90" t="inlineStr">
        <is>
          <t>Y</t>
        </is>
      </c>
      <c r="L21" s="90" t="n">
        <v>515</v>
      </c>
    </row>
    <row r="22" ht="15" customHeight="1" s="52">
      <c r="B22" s="90" t="n">
        <v>100016</v>
      </c>
      <c r="C22" s="90" t="n">
        <v>200016</v>
      </c>
      <c r="D22" s="90" t="inlineStr">
        <is>
          <t>Northeast</t>
        </is>
      </c>
      <c r="E22" s="90" t="inlineStr">
        <is>
          <t>Apex Freight</t>
        </is>
      </c>
      <c r="F22" s="90" t="inlineStr">
        <is>
          <t>16-Nov-2025</t>
        </is>
      </c>
      <c r="G22" s="90" t="inlineStr">
        <is>
          <t>19-Nov-2025</t>
        </is>
      </c>
      <c r="H22" s="90" t="inlineStr">
        <is>
          <t>11/19/2025</t>
        </is>
      </c>
      <c r="I22" s="90" t="inlineStr">
        <is>
          <t>Delivered</t>
        </is>
      </c>
      <c r="J22" s="90" t="n"/>
      <c r="K22" s="90" t="inlineStr">
        <is>
          <t>Y</t>
        </is>
      </c>
      <c r="L22" s="90" t="n">
        <v>512</v>
      </c>
    </row>
    <row r="23" ht="15" customHeight="1" s="52">
      <c r="B23" s="90" t="n">
        <v>100017</v>
      </c>
      <c r="C23" s="90" t="n">
        <v>200017</v>
      </c>
      <c r="D23" s="90" t="inlineStr">
        <is>
          <t>Southeast</t>
        </is>
      </c>
      <c r="E23" s="90" t="inlineStr">
        <is>
          <t>Northline Logistics</t>
        </is>
      </c>
      <c r="F23" s="90" t="inlineStr">
        <is>
          <t>10/17/2025</t>
        </is>
      </c>
      <c r="G23" s="90" t="inlineStr">
        <is>
          <t>10/21/2025</t>
        </is>
      </c>
      <c r="H23" s="90" t="inlineStr">
        <is>
          <t>2025-10-20</t>
        </is>
      </c>
      <c r="I23" s="90" t="inlineStr">
        <is>
          <t>Delivered</t>
        </is>
      </c>
      <c r="J23" s="90" t="n"/>
      <c r="K23" s="90" t="inlineStr">
        <is>
          <t>Y</t>
        </is>
      </c>
      <c r="L23" s="90" t="n">
        <v>567</v>
      </c>
    </row>
    <row r="24" ht="15" customHeight="1" s="52">
      <c r="B24" s="90" t="n">
        <v>100018</v>
      </c>
      <c r="C24" s="90" t="n">
        <v>200018</v>
      </c>
      <c r="D24" s="90" t="inlineStr">
        <is>
          <t xml:space="preserve">  Southwest  </t>
        </is>
      </c>
      <c r="E24" s="90" t="inlineStr">
        <is>
          <t>Coastal Express</t>
        </is>
      </c>
      <c r="F24" s="90" t="inlineStr">
        <is>
          <t>2025-11-21</t>
        </is>
      </c>
      <c r="G24" s="90" t="inlineStr">
        <is>
          <t>11/24/2025</t>
        </is>
      </c>
      <c r="H24" s="90" t="inlineStr">
        <is>
          <t>11/24/2025</t>
        </is>
      </c>
      <c r="I24" s="90" t="inlineStr">
        <is>
          <t>Delivered</t>
        </is>
      </c>
      <c r="J24" s="90" t="n"/>
      <c r="K24" s="90" t="inlineStr">
        <is>
          <t>Y</t>
        </is>
      </c>
      <c r="L24" s="90" t="n">
        <v>80</v>
      </c>
    </row>
    <row r="25" ht="15" customHeight="1" s="52">
      <c r="B25" s="90" t="n">
        <v>100019</v>
      </c>
      <c r="C25" s="90" t="n">
        <v>200019</v>
      </c>
      <c r="D25" s="90" t="inlineStr">
        <is>
          <t>Mid-Atlantic</t>
        </is>
      </c>
      <c r="E25" s="90" t="inlineStr">
        <is>
          <t>Apex Freight</t>
        </is>
      </c>
      <c r="F25" s="90" t="inlineStr">
        <is>
          <t>2025-12-15</t>
        </is>
      </c>
      <c r="G25" s="90" t="inlineStr">
        <is>
          <t>12/20/2025</t>
        </is>
      </c>
      <c r="H25" s="90" t="inlineStr">
        <is>
          <t>12/20/2025</t>
        </is>
      </c>
      <c r="I25" s="90" t="inlineStr">
        <is>
          <t>Delivered</t>
        </is>
      </c>
      <c r="J25" s="90" t="n"/>
      <c r="K25" s="90" t="inlineStr">
        <is>
          <t>Y</t>
        </is>
      </c>
      <c r="L25" s="90" t="n">
        <v>75</v>
      </c>
    </row>
    <row r="26" ht="15" customHeight="1" s="52">
      <c r="B26" s="90" t="n">
        <v>100020</v>
      </c>
      <c r="C26" s="90" t="n">
        <v>200020</v>
      </c>
      <c r="D26" s="90" t="inlineStr">
        <is>
          <t>Southwest</t>
        </is>
      </c>
      <c r="E26" s="90" t="inlineStr">
        <is>
          <t>Apex Freight</t>
        </is>
      </c>
      <c r="F26" s="90" t="inlineStr">
        <is>
          <t>2025-10-05</t>
        </is>
      </c>
      <c r="G26" s="90" t="inlineStr">
        <is>
          <t>2025-10-08</t>
        </is>
      </c>
      <c r="H26" s="90" t="n"/>
      <c r="I26" s="90" t="inlineStr">
        <is>
          <t>Failed - Carrier Delay</t>
        </is>
      </c>
      <c r="J26" s="90" t="inlineStr">
        <is>
          <t>CARRIER_DELAY</t>
        </is>
      </c>
      <c r="K26" s="90" t="n"/>
      <c r="L26" s="90" t="n">
        <v>258</v>
      </c>
    </row>
    <row r="27" ht="15" customHeight="1" s="52">
      <c r="B27" s="90" t="n">
        <v>100021</v>
      </c>
      <c r="C27" s="90" t="n">
        <v>200021</v>
      </c>
      <c r="D27" s="90" t="inlineStr">
        <is>
          <t>West</t>
        </is>
      </c>
      <c r="E27" s="90" t="inlineStr">
        <is>
          <t>Summit Carriers</t>
        </is>
      </c>
      <c r="F27" s="90" t="inlineStr">
        <is>
          <t>2025-10-28</t>
        </is>
      </c>
      <c r="G27" s="90" t="inlineStr">
        <is>
          <t>2025-11-02</t>
        </is>
      </c>
      <c r="H27" s="90" t="inlineStr">
        <is>
          <t>01-Nov-2025</t>
        </is>
      </c>
      <c r="I27" s="90" t="inlineStr">
        <is>
          <t>Delivered</t>
        </is>
      </c>
      <c r="J27" s="90" t="n"/>
      <c r="K27" s="90" t="inlineStr">
        <is>
          <t>Y</t>
        </is>
      </c>
      <c r="L27" s="90" t="n">
        <v>499</v>
      </c>
    </row>
    <row r="28" ht="15" customHeight="1" s="52">
      <c r="B28" s="90" t="n">
        <v>100022</v>
      </c>
      <c r="C28" s="90" t="n">
        <v>200022</v>
      </c>
      <c r="D28" s="90" t="inlineStr">
        <is>
          <t>Pacific Northwest</t>
        </is>
      </c>
      <c r="E28" s="90" t="inlineStr">
        <is>
          <t>NORTHLINE LOGISTICS</t>
        </is>
      </c>
      <c r="F28" s="90" t="inlineStr">
        <is>
          <t>2025-10-13</t>
        </is>
      </c>
      <c r="G28" s="90" t="inlineStr">
        <is>
          <t>15-Oct-2025</t>
        </is>
      </c>
      <c r="H28" s="90" t="inlineStr">
        <is>
          <t>10/14/2025</t>
        </is>
      </c>
      <c r="I28" s="90" t="inlineStr">
        <is>
          <t>Delivered</t>
        </is>
      </c>
      <c r="J28" s="90" t="n"/>
      <c r="K28" s="90" t="inlineStr">
        <is>
          <t>Y</t>
        </is>
      </c>
      <c r="L28" s="90" t="n">
        <v>70</v>
      </c>
    </row>
    <row r="29" ht="15" customHeight="1" s="52">
      <c r="B29" s="90" t="n">
        <v>100023</v>
      </c>
      <c r="C29" s="90" t="n">
        <v>200023</v>
      </c>
      <c r="D29" s="90" t="inlineStr">
        <is>
          <t>Southeast</t>
        </is>
      </c>
      <c r="E29" s="90" t="inlineStr">
        <is>
          <t xml:space="preserve">  Apex Freight  </t>
        </is>
      </c>
      <c r="F29" s="90" t="inlineStr">
        <is>
          <t>2025-11-21</t>
        </is>
      </c>
      <c r="G29" s="90" t="inlineStr">
        <is>
          <t>2025-11-24</t>
        </is>
      </c>
      <c r="H29" s="90" t="inlineStr">
        <is>
          <t>24-Nov-2025</t>
        </is>
      </c>
      <c r="I29" s="90" t="inlineStr">
        <is>
          <t>Delivered</t>
        </is>
      </c>
      <c r="J29" s="90" t="n"/>
      <c r="K29" s="90" t="inlineStr">
        <is>
          <t>Y</t>
        </is>
      </c>
      <c r="L29" s="90" t="n">
        <v>474</v>
      </c>
    </row>
    <row r="30" ht="15" customHeight="1" s="52">
      <c r="B30" s="90" t="n">
        <v>100024</v>
      </c>
      <c r="C30" s="90" t="n">
        <v>200024</v>
      </c>
      <c r="D30" s="90" t="inlineStr">
        <is>
          <t>Midwest</t>
        </is>
      </c>
      <c r="E30" s="90" t="inlineStr">
        <is>
          <t>Summit Carriers</t>
        </is>
      </c>
      <c r="F30" s="90" t="inlineStr">
        <is>
          <t>2025-10-24</t>
        </is>
      </c>
      <c r="G30" s="90" t="inlineStr">
        <is>
          <t>27-Oct-2025</t>
        </is>
      </c>
      <c r="H30" s="90" t="inlineStr">
        <is>
          <t>10/27/2025</t>
        </is>
      </c>
      <c r="I30" s="90" t="inlineStr">
        <is>
          <t>Delivered</t>
        </is>
      </c>
      <c r="J30" s="90" t="n"/>
      <c r="K30" s="90" t="inlineStr">
        <is>
          <t>Y</t>
        </is>
      </c>
      <c r="L30" s="90" t="n">
        <v>578</v>
      </c>
    </row>
    <row r="31" ht="15" customHeight="1" s="52">
      <c r="B31" s="90" t="n">
        <v>100025</v>
      </c>
      <c r="C31" s="90" t="n">
        <v>200025</v>
      </c>
      <c r="D31" s="90" t="inlineStr">
        <is>
          <t>Southeast</t>
        </is>
      </c>
      <c r="E31" s="90" t="inlineStr">
        <is>
          <t>Apex Freight</t>
        </is>
      </c>
      <c r="F31" s="90" t="inlineStr">
        <is>
          <t>23-Dec-2025</t>
        </is>
      </c>
      <c r="G31" s="90" t="inlineStr">
        <is>
          <t>28-Dec-2025</t>
        </is>
      </c>
      <c r="H31" s="90" t="inlineStr">
        <is>
          <t>28-Dec-2025</t>
        </is>
      </c>
      <c r="I31" s="90" t="inlineStr">
        <is>
          <t>Delivered</t>
        </is>
      </c>
      <c r="J31" s="90" t="n"/>
      <c r="K31" s="90" t="inlineStr">
        <is>
          <t>Y</t>
        </is>
      </c>
      <c r="L31" s="90" t="n">
        <v>512</v>
      </c>
    </row>
    <row r="32" ht="15" customHeight="1" s="52">
      <c r="B32" s="90" t="n">
        <v>100026</v>
      </c>
      <c r="C32" s="90" t="n">
        <v>200026</v>
      </c>
      <c r="D32" s="90" t="inlineStr">
        <is>
          <t>Mountain</t>
        </is>
      </c>
      <c r="E32" s="90" t="inlineStr">
        <is>
          <t>Northline Logistics</t>
        </is>
      </c>
      <c r="F32" s="90" t="inlineStr">
        <is>
          <t>21-Nov-2025</t>
        </is>
      </c>
      <c r="G32" s="90" t="inlineStr">
        <is>
          <t>11/23/2025</t>
        </is>
      </c>
      <c r="H32" s="90" t="n"/>
      <c r="I32" s="90" t="inlineStr">
        <is>
          <t>Failed - Carrier Delay</t>
        </is>
      </c>
      <c r="J32" s="90" t="inlineStr">
        <is>
          <t>CARRIER_DELAY</t>
        </is>
      </c>
      <c r="K32" s="90" t="n"/>
      <c r="L32" s="90" t="n">
        <v>17</v>
      </c>
    </row>
    <row r="33" ht="15" customHeight="1" s="52">
      <c r="B33" s="90" t="n">
        <v>100027</v>
      </c>
      <c r="C33" s="90" t="n">
        <v>200027</v>
      </c>
      <c r="D33" s="90" t="inlineStr">
        <is>
          <t>PACIFIC NORTHWEST</t>
        </is>
      </c>
      <c r="E33" s="90" t="inlineStr">
        <is>
          <t>coastal express</t>
        </is>
      </c>
      <c r="F33" s="90" t="inlineStr">
        <is>
          <t>2025-11-28</t>
        </is>
      </c>
      <c r="G33" s="90" t="inlineStr">
        <is>
          <t>12/01/2025</t>
        </is>
      </c>
      <c r="H33" s="90" t="inlineStr">
        <is>
          <t>30-Nov-2025</t>
        </is>
      </c>
      <c r="I33" s="90" t="inlineStr">
        <is>
          <t>Delivered</t>
        </is>
      </c>
      <c r="J33" s="90" t="n"/>
      <c r="K33" s="90" t="inlineStr">
        <is>
          <t>Y</t>
        </is>
      </c>
      <c r="L33" s="90" t="n">
        <v>318</v>
      </c>
    </row>
    <row r="34" ht="15" customHeight="1" s="52">
      <c r="B34" s="90" t="n">
        <v>100028</v>
      </c>
      <c r="C34" s="90" t="n">
        <v>200028</v>
      </c>
      <c r="D34" s="90" t="inlineStr">
        <is>
          <t>Southwest</t>
        </is>
      </c>
      <c r="E34" s="90" t="inlineStr">
        <is>
          <t>Apex Freight</t>
        </is>
      </c>
      <c r="F34" s="90" t="inlineStr">
        <is>
          <t>12/14/2025</t>
        </is>
      </c>
      <c r="G34" s="90" t="inlineStr">
        <is>
          <t>2025-12-19</t>
        </is>
      </c>
      <c r="H34" s="90" t="n"/>
      <c r="I34" s="90" t="inlineStr">
        <is>
          <t>Failed - Carrier Delay</t>
        </is>
      </c>
      <c r="J34" s="90" t="inlineStr">
        <is>
          <t>CARRIER_DELAY</t>
        </is>
      </c>
      <c r="K34" s="90" t="n"/>
      <c r="L34" s="90" t="n">
        <v>336</v>
      </c>
    </row>
    <row r="35" ht="15" customHeight="1" s="52">
      <c r="B35" s="90" t="n">
        <v>100029</v>
      </c>
      <c r="C35" s="90" t="n">
        <v>200029</v>
      </c>
      <c r="D35" s="90" t="n"/>
      <c r="E35" s="90" t="inlineStr">
        <is>
          <t>Apex Freight</t>
        </is>
      </c>
      <c r="F35" s="90" t="inlineStr">
        <is>
          <t>2025-12-14</t>
        </is>
      </c>
      <c r="G35" s="90" t="inlineStr">
        <is>
          <t>2025-12-18</t>
        </is>
      </c>
      <c r="H35" s="90" t="inlineStr">
        <is>
          <t>2025-12-18</t>
        </is>
      </c>
      <c r="I35" s="90" t="inlineStr">
        <is>
          <t>Delivered</t>
        </is>
      </c>
      <c r="J35" s="90" t="n"/>
      <c r="K35" s="90" t="inlineStr">
        <is>
          <t>Y</t>
        </is>
      </c>
      <c r="L35" s="90" t="n">
        <v>535</v>
      </c>
    </row>
    <row r="36" ht="15" customHeight="1" s="52">
      <c r="B36" s="90" t="n">
        <v>100030</v>
      </c>
      <c r="C36" s="90" t="n">
        <v>200030</v>
      </c>
      <c r="D36" s="90" t="inlineStr">
        <is>
          <t>Southeast</t>
        </is>
      </c>
      <c r="E36" s="90" t="inlineStr">
        <is>
          <t>Northline Logistics</t>
        </is>
      </c>
      <c r="F36" s="90" t="inlineStr">
        <is>
          <t>10/09/2025</t>
        </is>
      </c>
      <c r="G36" s="90" t="inlineStr">
        <is>
          <t>2025-10-14</t>
        </is>
      </c>
      <c r="H36" s="90" t="n"/>
      <c r="I36" s="90" t="inlineStr">
        <is>
          <t>failed - carrier delay</t>
        </is>
      </c>
      <c r="J36" s="90" t="inlineStr">
        <is>
          <t>CARRIER_DELAY</t>
        </is>
      </c>
      <c r="K36" s="90" t="n"/>
      <c r="L36" s="90" t="n">
        <v>255</v>
      </c>
    </row>
    <row r="37" ht="15" customHeight="1" s="52">
      <c r="B37" s="90" t="n">
        <v>100031</v>
      </c>
      <c r="C37" s="90" t="n">
        <v>200031</v>
      </c>
      <c r="D37" s="90" t="inlineStr">
        <is>
          <t>Pacific Northwest</t>
        </is>
      </c>
      <c r="E37" s="90" t="inlineStr">
        <is>
          <t xml:space="preserve">  Apex Freight  </t>
        </is>
      </c>
      <c r="F37" s="90" t="inlineStr">
        <is>
          <t>12-Dec-2025</t>
        </is>
      </c>
      <c r="G37" s="90" t="inlineStr">
        <is>
          <t>12/15/2025</t>
        </is>
      </c>
      <c r="H37" s="90" t="inlineStr">
        <is>
          <t>16-Dec-2025</t>
        </is>
      </c>
      <c r="I37" s="90" t="inlineStr">
        <is>
          <t>Delivered - Late</t>
        </is>
      </c>
      <c r="J37" s="90" t="n"/>
      <c r="K37" s="90" t="inlineStr">
        <is>
          <t>Y</t>
        </is>
      </c>
      <c r="L37" s="90" t="n">
        <v>612</v>
      </c>
    </row>
    <row r="38" ht="15" customHeight="1" s="52">
      <c r="B38" s="90" t="n">
        <v>100032</v>
      </c>
      <c r="C38" s="90" t="n">
        <v>200032</v>
      </c>
      <c r="D38" s="90" t="inlineStr">
        <is>
          <t>Mid-Atlantic</t>
        </is>
      </c>
      <c r="E38" s="90" t="inlineStr">
        <is>
          <t>Coastal Express</t>
        </is>
      </c>
      <c r="F38" s="90" t="inlineStr">
        <is>
          <t>2025-10-27</t>
        </is>
      </c>
      <c r="G38" s="90" t="inlineStr">
        <is>
          <t>30-Oct-2025</t>
        </is>
      </c>
      <c r="H38" s="90" t="inlineStr">
        <is>
          <t>2025-10-29</t>
        </is>
      </c>
      <c r="I38" s="90" t="inlineStr">
        <is>
          <t>delivered</t>
        </is>
      </c>
      <c r="J38" s="90" t="n"/>
      <c r="K38" s="90" t="inlineStr">
        <is>
          <t>Y</t>
        </is>
      </c>
      <c r="L38" s="90" t="n">
        <v>89</v>
      </c>
    </row>
    <row r="39" ht="15" customHeight="1" s="52">
      <c r="B39" s="90" t="n">
        <v>100033</v>
      </c>
      <c r="C39" s="90" t="n">
        <v>200033</v>
      </c>
      <c r="D39" s="90" t="inlineStr">
        <is>
          <t>Northeast</t>
        </is>
      </c>
      <c r="E39" s="90" t="inlineStr">
        <is>
          <t>Summit Carriers</t>
        </is>
      </c>
      <c r="F39" s="90" t="inlineStr">
        <is>
          <t>12/19/2025</t>
        </is>
      </c>
      <c r="G39" s="90" t="inlineStr">
        <is>
          <t>2025-12-24</t>
        </is>
      </c>
      <c r="H39" s="90" t="inlineStr">
        <is>
          <t>24-Dec-2025</t>
        </is>
      </c>
      <c r="I39" s="90" t="inlineStr">
        <is>
          <t>Delivered</t>
        </is>
      </c>
      <c r="J39" s="90" t="n"/>
      <c r="K39" s="90" t="inlineStr">
        <is>
          <t>Y</t>
        </is>
      </c>
      <c r="L39" s="90" t="n">
        <v>150</v>
      </c>
    </row>
    <row r="40" ht="15" customHeight="1" s="52">
      <c r="B40" s="90" t="n">
        <v>100034</v>
      </c>
      <c r="C40" s="90" t="n">
        <v>200034</v>
      </c>
      <c r="D40" s="90" t="inlineStr">
        <is>
          <t>Mid-Atlantic</t>
        </is>
      </c>
      <c r="E40" s="90" t="inlineStr">
        <is>
          <t>Apex Freight</t>
        </is>
      </c>
      <c r="F40" s="90" t="inlineStr">
        <is>
          <t>11/01/2025</t>
        </is>
      </c>
      <c r="G40" s="90" t="inlineStr">
        <is>
          <t>04-Nov-2025</t>
        </is>
      </c>
      <c r="H40" s="90" t="inlineStr">
        <is>
          <t>11/03/2025</t>
        </is>
      </c>
      <c r="I40" s="90" t="inlineStr">
        <is>
          <t>Delivered</t>
        </is>
      </c>
      <c r="J40" s="90" t="n"/>
      <c r="K40" s="90" t="inlineStr">
        <is>
          <t>Y</t>
        </is>
      </c>
      <c r="L40" s="90" t="n">
        <v>556</v>
      </c>
    </row>
    <row r="41" ht="15" customHeight="1" s="52">
      <c r="B41" s="90" t="n">
        <v>100035</v>
      </c>
      <c r="C41" s="90" t="n">
        <v>200035</v>
      </c>
      <c r="D41" s="90" t="inlineStr">
        <is>
          <t>Northeast</t>
        </is>
      </c>
      <c r="E41" s="90" t="inlineStr">
        <is>
          <t>Coastal Express</t>
        </is>
      </c>
      <c r="F41" s="90" t="inlineStr">
        <is>
          <t>12/24/2025</t>
        </is>
      </c>
      <c r="G41" s="90" t="inlineStr">
        <is>
          <t>12/26/2025</t>
        </is>
      </c>
      <c r="H41" s="90" t="inlineStr">
        <is>
          <t>2025-12-26</t>
        </is>
      </c>
      <c r="I41" s="90" t="inlineStr">
        <is>
          <t>delivered</t>
        </is>
      </c>
      <c r="J41" s="90" t="n"/>
      <c r="K41" s="90" t="inlineStr">
        <is>
          <t>Y</t>
        </is>
      </c>
      <c r="L41" s="90" t="n">
        <v>581</v>
      </c>
    </row>
    <row r="42" ht="15" customHeight="1" s="52">
      <c r="B42" s="90" t="n">
        <v>100036</v>
      </c>
      <c r="C42" s="90" t="n">
        <v>200036</v>
      </c>
      <c r="D42" s="90" t="inlineStr">
        <is>
          <t>Midwest</t>
        </is>
      </c>
      <c r="E42" s="90" t="inlineStr">
        <is>
          <t>COASTAL EXPRESS</t>
        </is>
      </c>
      <c r="F42" s="90" t="inlineStr">
        <is>
          <t>11/06/2025</t>
        </is>
      </c>
      <c r="G42" s="90" t="inlineStr">
        <is>
          <t>2025-11-11</t>
        </is>
      </c>
      <c r="H42" s="90" t="inlineStr">
        <is>
          <t>11/10/2025</t>
        </is>
      </c>
      <c r="I42" s="90" t="inlineStr">
        <is>
          <t xml:space="preserve">  Delivered  </t>
        </is>
      </c>
      <c r="J42" s="90" t="n"/>
      <c r="K42" s="90" t="inlineStr">
        <is>
          <t>Y</t>
        </is>
      </c>
      <c r="L42" s="90" t="n">
        <v>272</v>
      </c>
    </row>
    <row r="43" ht="15" customHeight="1" s="52">
      <c r="B43" s="90" t="n">
        <v>100037</v>
      </c>
      <c r="C43" s="90" t="n">
        <v>200037</v>
      </c>
      <c r="D43" s="90" t="inlineStr">
        <is>
          <t>Northeast</t>
        </is>
      </c>
      <c r="E43" s="90" t="inlineStr">
        <is>
          <t>Apex Freight</t>
        </is>
      </c>
      <c r="F43" s="90" t="inlineStr">
        <is>
          <t>12/21/2025</t>
        </is>
      </c>
      <c r="G43" s="90" t="inlineStr">
        <is>
          <t>12/25/2025</t>
        </is>
      </c>
      <c r="H43" s="90" t="inlineStr">
        <is>
          <t>12/28/2025</t>
        </is>
      </c>
      <c r="I43" s="90" t="inlineStr">
        <is>
          <t>Delivered - Late</t>
        </is>
      </c>
      <c r="J43" s="90" t="n"/>
      <c r="K43" s="90" t="inlineStr">
        <is>
          <t>Y</t>
        </is>
      </c>
      <c r="L43" s="90" t="n">
        <v>283</v>
      </c>
    </row>
    <row r="44" ht="15" customHeight="1" s="52">
      <c r="B44" s="90" t="n">
        <v>100038</v>
      </c>
      <c r="C44" s="90" t="n">
        <v>200038</v>
      </c>
      <c r="D44" s="90" t="inlineStr">
        <is>
          <t>MIDWEST</t>
        </is>
      </c>
      <c r="E44" s="90" t="inlineStr">
        <is>
          <t xml:space="preserve">  Summit Carriers  </t>
        </is>
      </c>
      <c r="F44" s="90" t="inlineStr">
        <is>
          <t>10-Dec-2025</t>
        </is>
      </c>
      <c r="G44" s="90" t="inlineStr">
        <is>
          <t>2025-12-14</t>
        </is>
      </c>
      <c r="H44" s="90" t="inlineStr">
        <is>
          <t>12/14/2025</t>
        </is>
      </c>
      <c r="I44" s="90" t="inlineStr">
        <is>
          <t>Delivered</t>
        </is>
      </c>
      <c r="J44" s="90" t="n"/>
      <c r="K44" s="90" t="inlineStr">
        <is>
          <t>Y</t>
        </is>
      </c>
      <c r="L44" s="90" t="n">
        <v>393</v>
      </c>
    </row>
    <row r="45" ht="15" customHeight="1" s="52">
      <c r="B45" s="90" t="n">
        <v>100039</v>
      </c>
      <c r="C45" s="90" t="n">
        <v>200039</v>
      </c>
      <c r="D45" s="90" t="inlineStr">
        <is>
          <t>Midwest</t>
        </is>
      </c>
      <c r="E45" s="90" t="inlineStr">
        <is>
          <t>Summit Carriers</t>
        </is>
      </c>
      <c r="F45" s="90" t="inlineStr">
        <is>
          <t>17-Oct-2025</t>
        </is>
      </c>
      <c r="G45" s="90" t="inlineStr">
        <is>
          <t>2025-10-19</t>
        </is>
      </c>
      <c r="H45" s="90" t="inlineStr">
        <is>
          <t>10/19/2025</t>
        </is>
      </c>
      <c r="I45" s="90" t="inlineStr">
        <is>
          <t>delivered</t>
        </is>
      </c>
      <c r="J45" s="90" t="n"/>
      <c r="K45" s="90" t="inlineStr">
        <is>
          <t>Y</t>
        </is>
      </c>
      <c r="L45" s="90" t="n">
        <v>230</v>
      </c>
    </row>
    <row r="46" ht="15" customHeight="1" s="52">
      <c r="B46" s="90" t="n">
        <v>100040</v>
      </c>
      <c r="C46" s="90" t="n">
        <v>200040</v>
      </c>
      <c r="D46" s="90" t="inlineStr">
        <is>
          <t>Southwest</t>
        </is>
      </c>
      <c r="E46" s="90" t="inlineStr">
        <is>
          <t>Apex Freight</t>
        </is>
      </c>
      <c r="F46" s="90" t="inlineStr">
        <is>
          <t>15-Nov-2025</t>
        </is>
      </c>
      <c r="G46" s="90" t="inlineStr">
        <is>
          <t>2025-11-20</t>
        </is>
      </c>
      <c r="H46" s="90" t="inlineStr">
        <is>
          <t>2025-11-20</t>
        </is>
      </c>
      <c r="I46" s="90" t="inlineStr">
        <is>
          <t>Delivered</t>
        </is>
      </c>
      <c r="J46" s="90" t="n"/>
      <c r="K46" s="90" t="inlineStr">
        <is>
          <t>Y</t>
        </is>
      </c>
      <c r="L46" s="90" t="n">
        <v>257</v>
      </c>
    </row>
    <row r="47" ht="15" customHeight="1" s="52">
      <c r="B47" s="90" t="n">
        <v>100041</v>
      </c>
      <c r="C47" s="90" t="n">
        <v>200041</v>
      </c>
      <c r="D47" s="90" t="inlineStr">
        <is>
          <t>Midwest</t>
        </is>
      </c>
      <c r="E47" s="90" t="inlineStr">
        <is>
          <t>NORTHLINE LOGISTICS</t>
        </is>
      </c>
      <c r="F47" s="90" t="inlineStr">
        <is>
          <t>2025-11-22</t>
        </is>
      </c>
      <c r="G47" s="90" t="inlineStr">
        <is>
          <t>2025-11-24</t>
        </is>
      </c>
      <c r="H47" s="90" t="n"/>
      <c r="I47" s="90" t="inlineStr">
        <is>
          <t>Failed - Carrier Delay</t>
        </is>
      </c>
      <c r="J47" s="90" t="inlineStr">
        <is>
          <t>CARRIER_DELAY</t>
        </is>
      </c>
      <c r="K47" s="90" t="n"/>
      <c r="L47" s="90" t="n">
        <v>355</v>
      </c>
    </row>
    <row r="48" ht="15" customHeight="1" s="52">
      <c r="B48" s="90" t="n">
        <v>100042</v>
      </c>
      <c r="C48" s="90" t="n">
        <v>200042</v>
      </c>
      <c r="D48" s="90" t="inlineStr">
        <is>
          <t>Pacific Northwest</t>
        </is>
      </c>
      <c r="E48" s="90" t="inlineStr">
        <is>
          <t>Northline Logistics</t>
        </is>
      </c>
      <c r="F48" s="90" t="inlineStr">
        <is>
          <t>2025-11-04</t>
        </is>
      </c>
      <c r="G48" s="90" t="inlineStr">
        <is>
          <t>07-Nov-2025</t>
        </is>
      </c>
      <c r="H48" s="90" t="inlineStr">
        <is>
          <t>11/08/2025</t>
        </is>
      </c>
      <c r="I48" s="90" t="inlineStr">
        <is>
          <t>Delivered - Late</t>
        </is>
      </c>
      <c r="J48" s="90" t="n"/>
      <c r="K48" s="90" t="inlineStr">
        <is>
          <t>Y</t>
        </is>
      </c>
      <c r="L48" s="90" t="n">
        <v>242</v>
      </c>
    </row>
    <row r="49" ht="15" customHeight="1" s="52">
      <c r="B49" s="90" t="n">
        <v>100043</v>
      </c>
      <c r="C49" s="90" t="n">
        <v>200043</v>
      </c>
      <c r="D49" s="90" t="inlineStr">
        <is>
          <t>Southwest</t>
        </is>
      </c>
      <c r="E49" s="90" t="inlineStr">
        <is>
          <t>Summit Carriers</t>
        </is>
      </c>
      <c r="F49" s="90" t="inlineStr">
        <is>
          <t>2025-11-14</t>
        </is>
      </c>
      <c r="G49" s="90" t="inlineStr">
        <is>
          <t>2025-11-17</t>
        </is>
      </c>
      <c r="H49" s="90" t="inlineStr">
        <is>
          <t>17-Nov-2025</t>
        </is>
      </c>
      <c r="I49" s="90" t="inlineStr">
        <is>
          <t>Delivered</t>
        </is>
      </c>
      <c r="J49" s="90" t="n"/>
      <c r="K49" s="90" t="inlineStr">
        <is>
          <t>N</t>
        </is>
      </c>
      <c r="L49" s="90" t="n">
        <v>212</v>
      </c>
    </row>
    <row r="50" ht="15" customHeight="1" s="52">
      <c r="B50" s="90" t="n">
        <v>100044</v>
      </c>
      <c r="C50" s="90" t="n">
        <v>200044</v>
      </c>
      <c r="D50" s="90" t="inlineStr">
        <is>
          <t>Pacific Northwest</t>
        </is>
      </c>
      <c r="E50" s="90" t="inlineStr">
        <is>
          <t>Coastal Express</t>
        </is>
      </c>
      <c r="F50" s="90" t="inlineStr">
        <is>
          <t>2025-11-05</t>
        </is>
      </c>
      <c r="G50" s="90" t="inlineStr">
        <is>
          <t>11/07/2025</t>
        </is>
      </c>
      <c r="H50" s="90" t="inlineStr">
        <is>
          <t>06-Nov-2025</t>
        </is>
      </c>
      <c r="I50" s="90" t="inlineStr">
        <is>
          <t>Delivered</t>
        </is>
      </c>
      <c r="J50" s="90" t="n"/>
      <c r="K50" s="90" t="inlineStr">
        <is>
          <t>Y</t>
        </is>
      </c>
      <c r="L50" s="90" t="n">
        <v>564</v>
      </c>
    </row>
    <row r="51" ht="15" customHeight="1" s="52">
      <c r="B51" s="90" t="n">
        <v>100045</v>
      </c>
      <c r="C51" s="90" t="n">
        <v>200045</v>
      </c>
      <c r="D51" s="90" t="inlineStr">
        <is>
          <t>Mid-Atlantic</t>
        </is>
      </c>
      <c r="E51" s="90" t="inlineStr">
        <is>
          <t>Apex Freight</t>
        </is>
      </c>
      <c r="F51" s="90" t="inlineStr">
        <is>
          <t>2025-10-15</t>
        </is>
      </c>
      <c r="G51" s="90" t="inlineStr">
        <is>
          <t>2025-10-18</t>
        </is>
      </c>
      <c r="H51" s="90" t="inlineStr">
        <is>
          <t>10/17/2025</t>
        </is>
      </c>
      <c r="I51" s="90" t="inlineStr">
        <is>
          <t>Delivered</t>
        </is>
      </c>
      <c r="J51" s="90" t="n"/>
      <c r="K51" s="90" t="inlineStr">
        <is>
          <t>N</t>
        </is>
      </c>
      <c r="L51" s="90" t="n">
        <v>459</v>
      </c>
    </row>
    <row r="52" ht="15" customHeight="1" s="52">
      <c r="B52" s="90" t="n">
        <v>100046</v>
      </c>
      <c r="C52" s="90" t="n">
        <v>200046</v>
      </c>
      <c r="D52" s="90" t="inlineStr">
        <is>
          <t>Mid-Atlantic</t>
        </is>
      </c>
      <c r="E52" s="90" t="inlineStr">
        <is>
          <t>Coastal Express</t>
        </is>
      </c>
      <c r="F52" s="90" t="inlineStr">
        <is>
          <t>25-Nov-2025</t>
        </is>
      </c>
      <c r="G52" s="90" t="inlineStr">
        <is>
          <t>11/30/2025</t>
        </is>
      </c>
      <c r="H52" s="90" t="inlineStr">
        <is>
          <t>11/30/2025</t>
        </is>
      </c>
      <c r="I52" s="90" t="inlineStr">
        <is>
          <t>Delivered</t>
        </is>
      </c>
      <c r="J52" s="90" t="n"/>
      <c r="K52" s="90" t="inlineStr">
        <is>
          <t>Y</t>
        </is>
      </c>
      <c r="L52" s="90" t="n">
        <v>461</v>
      </c>
    </row>
    <row r="53" ht="15" customHeight="1" s="52">
      <c r="B53" s="90" t="n">
        <v>100047</v>
      </c>
      <c r="C53" s="90" t="n">
        <v>200047</v>
      </c>
      <c r="D53" s="90" t="inlineStr">
        <is>
          <t>Northeast</t>
        </is>
      </c>
      <c r="E53" s="90" t="inlineStr">
        <is>
          <t>Northline Logistics</t>
        </is>
      </c>
      <c r="F53" s="90" t="inlineStr">
        <is>
          <t>2025-11-16</t>
        </is>
      </c>
      <c r="G53" s="90" t="inlineStr">
        <is>
          <t>11/20/2025</t>
        </is>
      </c>
      <c r="H53" s="90" t="n"/>
      <c r="I53" s="90" t="inlineStr">
        <is>
          <t>Failed - Carrier Delay</t>
        </is>
      </c>
      <c r="J53" s="90" t="inlineStr">
        <is>
          <t>CARRIER_DELAY</t>
        </is>
      </c>
      <c r="K53" s="90" t="n"/>
      <c r="L53" s="90" t="n">
        <v>353</v>
      </c>
    </row>
    <row r="54" ht="15" customHeight="1" s="52">
      <c r="B54" s="90" t="n">
        <v>100048</v>
      </c>
      <c r="C54" s="90" t="n">
        <v>200048</v>
      </c>
      <c r="D54" s="90" t="inlineStr">
        <is>
          <t>MID-ATLANTIC</t>
        </is>
      </c>
      <c r="E54" s="90" t="inlineStr">
        <is>
          <t>APEX FREIGHT</t>
        </is>
      </c>
      <c r="F54" s="90" t="inlineStr">
        <is>
          <t>2025-11-08</t>
        </is>
      </c>
      <c r="G54" s="90" t="inlineStr">
        <is>
          <t>11/13/2025</t>
        </is>
      </c>
      <c r="H54" s="90" t="inlineStr">
        <is>
          <t>12-Nov-2025</t>
        </is>
      </c>
      <c r="I54" s="90" t="inlineStr">
        <is>
          <t>Delivered</t>
        </is>
      </c>
      <c r="J54" s="90" t="n"/>
      <c r="K54" s="90" t="inlineStr">
        <is>
          <t>Y</t>
        </is>
      </c>
      <c r="L54" s="90" t="n">
        <v>582</v>
      </c>
    </row>
    <row r="55" ht="15" customHeight="1" s="52">
      <c r="B55" s="90" t="n">
        <v>100049</v>
      </c>
      <c r="C55" s="90" t="n">
        <v>200049</v>
      </c>
      <c r="D55" s="90" t="inlineStr">
        <is>
          <t>Midwest</t>
        </is>
      </c>
      <c r="E55" s="90" t="inlineStr">
        <is>
          <t>Northline Logistics</t>
        </is>
      </c>
      <c r="F55" s="90" t="inlineStr">
        <is>
          <t>2025-11-23</t>
        </is>
      </c>
      <c r="G55" s="90" t="inlineStr">
        <is>
          <t>11/27/2025</t>
        </is>
      </c>
      <c r="H55" s="90" t="inlineStr">
        <is>
          <t>26-Nov-2025</t>
        </is>
      </c>
      <c r="I55" s="90" t="inlineStr">
        <is>
          <t>Delivered</t>
        </is>
      </c>
      <c r="J55" s="90" t="n"/>
      <c r="K55" s="90" t="inlineStr">
        <is>
          <t>Y</t>
        </is>
      </c>
      <c r="L55" s="90" t="n">
        <v>15</v>
      </c>
    </row>
    <row r="56" ht="15" customHeight="1" s="52">
      <c r="B56" s="90" t="n">
        <v>100050</v>
      </c>
      <c r="C56" s="90" t="n">
        <v>200050</v>
      </c>
      <c r="D56" s="90" t="inlineStr">
        <is>
          <t>West</t>
        </is>
      </c>
      <c r="E56" s="90" t="inlineStr">
        <is>
          <t>Coastal Express</t>
        </is>
      </c>
      <c r="F56" s="90" t="inlineStr">
        <is>
          <t>2025-10-27</t>
        </is>
      </c>
      <c r="G56" s="90" t="inlineStr">
        <is>
          <t>10/31/2025</t>
        </is>
      </c>
      <c r="H56" s="90" t="inlineStr">
        <is>
          <t>30-Oct-2025</t>
        </is>
      </c>
      <c r="I56" s="90" t="inlineStr">
        <is>
          <t>Delivered</t>
        </is>
      </c>
      <c r="J56" s="90" t="n"/>
      <c r="K56" s="90" t="inlineStr">
        <is>
          <t>Y</t>
        </is>
      </c>
      <c r="L56" s="90" t="n">
        <v>467</v>
      </c>
    </row>
    <row r="57" ht="15" customHeight="1" s="52">
      <c r="B57" s="90" t="n">
        <v>100051</v>
      </c>
      <c r="C57" s="90" t="n">
        <v>200051</v>
      </c>
      <c r="D57" s="90" t="inlineStr">
        <is>
          <t>Southwest</t>
        </is>
      </c>
      <c r="E57" s="90" t="inlineStr">
        <is>
          <t>Summit Carriers</t>
        </is>
      </c>
      <c r="F57" s="90" t="inlineStr">
        <is>
          <t>22-Oct-2025</t>
        </is>
      </c>
      <c r="G57" s="90" t="inlineStr">
        <is>
          <t>24-Oct-2025</t>
        </is>
      </c>
      <c r="H57" s="90" t="inlineStr">
        <is>
          <t>10/23/2025</t>
        </is>
      </c>
      <c r="I57" s="90" t="inlineStr">
        <is>
          <t xml:space="preserve">  Delivered  </t>
        </is>
      </c>
      <c r="J57" s="90" t="n"/>
      <c r="K57" s="90" t="inlineStr">
        <is>
          <t>Y</t>
        </is>
      </c>
      <c r="L57" s="90" t="n">
        <v>255</v>
      </c>
    </row>
    <row r="58" ht="15" customHeight="1" s="52">
      <c r="B58" s="90" t="n">
        <v>100052</v>
      </c>
      <c r="C58" s="90" t="n">
        <v>200052</v>
      </c>
      <c r="D58" s="90" t="inlineStr">
        <is>
          <t>West</t>
        </is>
      </c>
      <c r="E58" s="90" t="inlineStr">
        <is>
          <t>Northline Logistics</t>
        </is>
      </c>
      <c r="F58" s="90" t="inlineStr">
        <is>
          <t>26-Oct-2025</t>
        </is>
      </c>
      <c r="G58" s="90" t="inlineStr">
        <is>
          <t>29-Oct-2025</t>
        </is>
      </c>
      <c r="H58" s="90" t="n"/>
      <c r="I58" s="90" t="inlineStr">
        <is>
          <t>Failed - Wrong Address</t>
        </is>
      </c>
      <c r="J58" s="90" t="inlineStr">
        <is>
          <t>ADDR_ERR</t>
        </is>
      </c>
      <c r="K58" s="90" t="n"/>
      <c r="L58" s="90" t="n">
        <v>265</v>
      </c>
    </row>
    <row r="59" ht="15" customHeight="1" s="52">
      <c r="B59" s="90" t="n">
        <v>100053</v>
      </c>
      <c r="C59" s="90" t="n">
        <v>200053</v>
      </c>
      <c r="D59" s="90" t="inlineStr">
        <is>
          <t>Mountain</t>
        </is>
      </c>
      <c r="E59" s="90" t="inlineStr">
        <is>
          <t>Apex Freight</t>
        </is>
      </c>
      <c r="F59" s="90" t="inlineStr">
        <is>
          <t>11/28/2025</t>
        </is>
      </c>
      <c r="G59" s="90" t="inlineStr">
        <is>
          <t>2025-12-02</t>
        </is>
      </c>
      <c r="H59" s="90" t="inlineStr">
        <is>
          <t>01-Dec-2025</t>
        </is>
      </c>
      <c r="I59" s="90" t="inlineStr">
        <is>
          <t>Delivered</t>
        </is>
      </c>
      <c r="J59" s="90" t="n"/>
      <c r="K59" s="90" t="inlineStr">
        <is>
          <t>Y</t>
        </is>
      </c>
      <c r="L59" s="90" t="n">
        <v>264</v>
      </c>
    </row>
    <row r="60" ht="15" customHeight="1" s="52">
      <c r="B60" s="90" t="n">
        <v>100054</v>
      </c>
      <c r="C60" s="90" t="n">
        <v>200054</v>
      </c>
      <c r="D60" s="90" t="inlineStr">
        <is>
          <t>Midwest</t>
        </is>
      </c>
      <c r="E60" s="90" t="inlineStr">
        <is>
          <t>Apex Freight</t>
        </is>
      </c>
      <c r="F60" s="90" t="inlineStr">
        <is>
          <t>2025-10-14</t>
        </is>
      </c>
      <c r="G60" s="90" t="inlineStr">
        <is>
          <t>10/18/2025</t>
        </is>
      </c>
      <c r="H60" s="90" t="inlineStr">
        <is>
          <t>2025-10-17</t>
        </is>
      </c>
      <c r="I60" s="90" t="inlineStr">
        <is>
          <t>Delivered</t>
        </is>
      </c>
      <c r="J60" s="90" t="n"/>
      <c r="K60" s="90" t="inlineStr">
        <is>
          <t>Y</t>
        </is>
      </c>
      <c r="L60" s="90" t="n">
        <v>270</v>
      </c>
    </row>
    <row r="61" ht="15" customHeight="1" s="52">
      <c r="B61" s="90" t="n">
        <v>100055</v>
      </c>
      <c r="C61" s="90" t="n">
        <v>200055</v>
      </c>
      <c r="D61" s="90" t="inlineStr">
        <is>
          <t>Southeast</t>
        </is>
      </c>
      <c r="E61" s="90" t="inlineStr">
        <is>
          <t>Summit Carriers</t>
        </is>
      </c>
      <c r="F61" s="90" t="inlineStr">
        <is>
          <t>10/18/2025</t>
        </is>
      </c>
      <c r="G61" s="90" t="inlineStr">
        <is>
          <t>2025-10-22</t>
        </is>
      </c>
      <c r="H61" s="90" t="inlineStr">
        <is>
          <t>10/21/2025</t>
        </is>
      </c>
      <c r="I61" s="90" t="inlineStr">
        <is>
          <t>Delivered</t>
        </is>
      </c>
      <c r="J61" s="90" t="n"/>
      <c r="K61" s="90" t="inlineStr">
        <is>
          <t>Y</t>
        </is>
      </c>
      <c r="L61" s="90" t="n">
        <v>468</v>
      </c>
    </row>
    <row r="62" ht="15" customHeight="1" s="52">
      <c r="B62" s="90" t="n">
        <v>100056</v>
      </c>
      <c r="C62" s="90" t="n">
        <v>200056</v>
      </c>
      <c r="D62" s="90" t="inlineStr">
        <is>
          <t>Pacific Northwest</t>
        </is>
      </c>
      <c r="E62" s="90" t="inlineStr">
        <is>
          <t>Summit Carriers</t>
        </is>
      </c>
      <c r="F62" s="90" t="inlineStr">
        <is>
          <t>10/21/2025</t>
        </is>
      </c>
      <c r="G62" s="90" t="inlineStr">
        <is>
          <t>2025-10-25</t>
        </is>
      </c>
      <c r="H62" s="90" t="inlineStr">
        <is>
          <t>24-Oct-2025</t>
        </is>
      </c>
      <c r="I62" s="90" t="inlineStr">
        <is>
          <t>Delivered</t>
        </is>
      </c>
      <c r="J62" s="90" t="n"/>
      <c r="K62" s="90" t="inlineStr">
        <is>
          <t>Y</t>
        </is>
      </c>
      <c r="L62" s="90" t="n">
        <v>548</v>
      </c>
    </row>
    <row r="63" ht="15" customHeight="1" s="52">
      <c r="B63" s="90" t="n">
        <v>100057</v>
      </c>
      <c r="C63" s="90" t="n">
        <v>200057</v>
      </c>
      <c r="D63" s="90" t="inlineStr">
        <is>
          <t>Mountain</t>
        </is>
      </c>
      <c r="E63" s="90" t="inlineStr">
        <is>
          <t>Northline Logistics</t>
        </is>
      </c>
      <c r="F63" s="90" t="inlineStr">
        <is>
          <t>2025-11-05</t>
        </is>
      </c>
      <c r="G63" s="90" t="inlineStr">
        <is>
          <t>2025-11-09</t>
        </is>
      </c>
      <c r="H63" s="90" t="n"/>
      <c r="I63" s="90" t="inlineStr">
        <is>
          <t xml:space="preserve">  Failed - Carrier Delay  </t>
        </is>
      </c>
      <c r="J63" s="90" t="inlineStr">
        <is>
          <t>CARRIER_DELAY</t>
        </is>
      </c>
      <c r="K63" s="90" t="n"/>
      <c r="L63" s="90" t="n">
        <v>307</v>
      </c>
    </row>
    <row r="64" ht="15" customHeight="1" s="52">
      <c r="B64" s="90" t="n">
        <v>100058</v>
      </c>
      <c r="C64" s="90" t="n">
        <v>200058</v>
      </c>
      <c r="D64" s="90" t="inlineStr">
        <is>
          <t>Southwest</t>
        </is>
      </c>
      <c r="E64" s="90" t="inlineStr">
        <is>
          <t>Coastal Express</t>
        </is>
      </c>
      <c r="F64" s="90" t="inlineStr">
        <is>
          <t>12-Nov-2025</t>
        </is>
      </c>
      <c r="G64" s="90" t="inlineStr">
        <is>
          <t>15-Nov-2025</t>
        </is>
      </c>
      <c r="H64" s="90" t="inlineStr">
        <is>
          <t>15-Nov-2025</t>
        </is>
      </c>
      <c r="I64" s="90" t="inlineStr">
        <is>
          <t>Delivered</t>
        </is>
      </c>
      <c r="J64" s="90" t="n"/>
      <c r="K64" s="90" t="inlineStr">
        <is>
          <t>Y</t>
        </is>
      </c>
      <c r="L64" s="90" t="n">
        <v>171</v>
      </c>
    </row>
    <row r="65" ht="15" customHeight="1" s="52">
      <c r="B65" s="90" t="n">
        <v>100059</v>
      </c>
      <c r="C65" s="90" t="n">
        <v>200059</v>
      </c>
      <c r="D65" s="90" t="inlineStr">
        <is>
          <t>Southwest</t>
        </is>
      </c>
      <c r="E65" s="90" t="inlineStr">
        <is>
          <t>Apex Freight</t>
        </is>
      </c>
      <c r="F65" s="90" t="inlineStr">
        <is>
          <t>11/23/2025</t>
        </is>
      </c>
      <c r="G65" s="90" t="inlineStr">
        <is>
          <t>11/27/2025</t>
        </is>
      </c>
      <c r="H65" s="90" t="inlineStr">
        <is>
          <t>11/27/2025</t>
        </is>
      </c>
      <c r="I65" s="90" t="inlineStr">
        <is>
          <t>Delivered</t>
        </is>
      </c>
      <c r="J65" s="90" t="n"/>
      <c r="K65" s="90" t="inlineStr">
        <is>
          <t>Y</t>
        </is>
      </c>
      <c r="L65" s="90" t="n">
        <v>445</v>
      </c>
    </row>
    <row r="66" ht="15" customHeight="1" s="52">
      <c r="B66" s="90" t="n">
        <v>100060</v>
      </c>
      <c r="C66" s="90" t="n">
        <v>200060</v>
      </c>
      <c r="D66" s="90" t="inlineStr">
        <is>
          <t>Pacific Northwest</t>
        </is>
      </c>
      <c r="E66" s="90" t="inlineStr">
        <is>
          <t>Apex Freight</t>
        </is>
      </c>
      <c r="F66" s="90" t="inlineStr">
        <is>
          <t>12/13/2025</t>
        </is>
      </c>
      <c r="G66" s="90" t="inlineStr">
        <is>
          <t>2025-12-17</t>
        </is>
      </c>
      <c r="H66" s="90" t="inlineStr">
        <is>
          <t>2025-12-16</t>
        </is>
      </c>
      <c r="I66" s="90" t="inlineStr">
        <is>
          <t>Delivered</t>
        </is>
      </c>
      <c r="J66" s="90" t="n"/>
      <c r="K66" s="90" t="inlineStr">
        <is>
          <t>Y</t>
        </is>
      </c>
      <c r="L66" s="90" t="n">
        <v>444</v>
      </c>
    </row>
    <row r="67" ht="15" customHeight="1" s="52">
      <c r="B67" s="90" t="n">
        <v>100061</v>
      </c>
      <c r="C67" s="90" t="n">
        <v>200061</v>
      </c>
      <c r="D67" s="90" t="inlineStr">
        <is>
          <t xml:space="preserve">  Southwest  </t>
        </is>
      </c>
      <c r="E67" s="90" t="inlineStr">
        <is>
          <t>Summit Carriers</t>
        </is>
      </c>
      <c r="F67" s="90" t="inlineStr">
        <is>
          <t>2025-10-29</t>
        </is>
      </c>
      <c r="G67" s="90" t="inlineStr">
        <is>
          <t>11/01/2025</t>
        </is>
      </c>
      <c r="H67" s="90" t="inlineStr">
        <is>
          <t>04-Nov-2025</t>
        </is>
      </c>
      <c r="I67" s="90" t="inlineStr">
        <is>
          <t>Delivered - Late</t>
        </is>
      </c>
      <c r="J67" s="90" t="n"/>
      <c r="K67" s="90" t="inlineStr">
        <is>
          <t>Y</t>
        </is>
      </c>
      <c r="L67" s="90" t="n">
        <v>429</v>
      </c>
    </row>
    <row r="68" ht="15" customHeight="1" s="52">
      <c r="B68" s="90" t="n">
        <v>100062</v>
      </c>
      <c r="C68" s="90" t="n">
        <v>200062</v>
      </c>
      <c r="D68" s="90" t="inlineStr">
        <is>
          <t>Midwest</t>
        </is>
      </c>
      <c r="E68" s="90" t="inlineStr">
        <is>
          <t>Summit Carriers</t>
        </is>
      </c>
      <c r="F68" s="90" t="inlineStr">
        <is>
          <t>2025-10-17</t>
        </is>
      </c>
      <c r="G68" s="90" t="inlineStr">
        <is>
          <t>2025-10-22</t>
        </is>
      </c>
      <c r="H68" s="90" t="inlineStr">
        <is>
          <t>22-Oct-2025</t>
        </is>
      </c>
      <c r="I68" s="90" t="inlineStr">
        <is>
          <t>Delivered</t>
        </is>
      </c>
      <c r="J68" s="90" t="n"/>
      <c r="K68" s="90" t="inlineStr">
        <is>
          <t>Y</t>
        </is>
      </c>
      <c r="L68" s="90" t="n">
        <v>453</v>
      </c>
    </row>
    <row r="69" ht="15" customHeight="1" s="52">
      <c r="B69" s="90" t="n">
        <v>100063</v>
      </c>
      <c r="C69" s="90" t="n">
        <v>200063</v>
      </c>
      <c r="D69" s="90" t="inlineStr">
        <is>
          <t>Midwest</t>
        </is>
      </c>
      <c r="E69" s="90" t="inlineStr">
        <is>
          <t>Summit Carriers</t>
        </is>
      </c>
      <c r="F69" s="90" t="inlineStr">
        <is>
          <t>24-Oct-2025</t>
        </is>
      </c>
      <c r="G69" s="90" t="inlineStr">
        <is>
          <t>2025-10-26</t>
        </is>
      </c>
      <c r="H69" s="90" t="inlineStr">
        <is>
          <t>2025-10-25</t>
        </is>
      </c>
      <c r="I69" s="90" t="inlineStr">
        <is>
          <t>Delivered</t>
        </is>
      </c>
      <c r="J69" s="90" t="n"/>
      <c r="K69" s="90" t="inlineStr">
        <is>
          <t>Y</t>
        </is>
      </c>
      <c r="L69" s="90" t="n">
        <v>403</v>
      </c>
    </row>
    <row r="70" ht="15" customHeight="1" s="52">
      <c r="B70" s="90" t="n">
        <v>100064</v>
      </c>
      <c r="C70" s="90" t="n">
        <v>200064</v>
      </c>
      <c r="D70" s="90" t="inlineStr">
        <is>
          <t>West</t>
        </is>
      </c>
      <c r="E70" s="90" t="inlineStr">
        <is>
          <t>Summit Carriers</t>
        </is>
      </c>
      <c r="F70" s="90" t="inlineStr">
        <is>
          <t>2025-11-02</t>
        </is>
      </c>
      <c r="G70" s="90" t="inlineStr">
        <is>
          <t>2025-11-04</t>
        </is>
      </c>
      <c r="H70" s="90" t="inlineStr">
        <is>
          <t>11/04/2025</t>
        </is>
      </c>
      <c r="I70" s="90" t="inlineStr">
        <is>
          <t>Delivered</t>
        </is>
      </c>
      <c r="J70" s="90" t="n"/>
      <c r="K70" s="90" t="inlineStr">
        <is>
          <t>Y</t>
        </is>
      </c>
      <c r="L70" s="90" t="n">
        <v>373</v>
      </c>
    </row>
    <row r="71" ht="15" customHeight="1" s="52">
      <c r="B71" s="90" t="n">
        <v>100065</v>
      </c>
      <c r="C71" s="90" t="n">
        <v>200065</v>
      </c>
      <c r="D71" s="90" t="inlineStr">
        <is>
          <t>Southwest</t>
        </is>
      </c>
      <c r="E71" s="90" t="inlineStr">
        <is>
          <t>Apex Freight</t>
        </is>
      </c>
      <c r="F71" s="90" t="inlineStr">
        <is>
          <t>23-Dec-2025</t>
        </is>
      </c>
      <c r="G71" s="90" t="inlineStr">
        <is>
          <t>2025-12-25</t>
        </is>
      </c>
      <c r="H71" s="90" t="inlineStr">
        <is>
          <t>12/25/2025</t>
        </is>
      </c>
      <c r="I71" s="90" t="inlineStr">
        <is>
          <t>Delivered</t>
        </is>
      </c>
      <c r="J71" s="90" t="n"/>
      <c r="K71" s="90" t="inlineStr">
        <is>
          <t>Y</t>
        </is>
      </c>
      <c r="L71" s="90" t="n">
        <v>171</v>
      </c>
    </row>
    <row r="72" ht="15" customHeight="1" s="52">
      <c r="B72" s="90" t="n">
        <v>100066</v>
      </c>
      <c r="C72" s="90" t="n">
        <v>200066</v>
      </c>
      <c r="D72" s="90" t="inlineStr">
        <is>
          <t xml:space="preserve">  Southwest  </t>
        </is>
      </c>
      <c r="E72" s="90" t="inlineStr">
        <is>
          <t>Northline Logistics</t>
        </is>
      </c>
      <c r="F72" s="90" t="inlineStr">
        <is>
          <t>30-Nov-2025</t>
        </is>
      </c>
      <c r="G72" s="90" t="inlineStr">
        <is>
          <t>2025-12-02</t>
        </is>
      </c>
      <c r="H72" s="90" t="inlineStr">
        <is>
          <t>01-Dec-2025</t>
        </is>
      </c>
      <c r="I72" s="90" t="inlineStr">
        <is>
          <t>Delivered</t>
        </is>
      </c>
      <c r="J72" s="90" t="n"/>
      <c r="K72" s="90" t="inlineStr">
        <is>
          <t>Y</t>
        </is>
      </c>
      <c r="L72" s="90" t="n">
        <v>186</v>
      </c>
    </row>
    <row r="73" ht="15" customHeight="1" s="52">
      <c r="B73" s="90" t="n">
        <v>100067</v>
      </c>
      <c r="C73" s="90" t="n">
        <v>200067</v>
      </c>
      <c r="D73" s="90" t="inlineStr">
        <is>
          <t>Southeast</t>
        </is>
      </c>
      <c r="E73" s="90" t="inlineStr">
        <is>
          <t>Northline Logistics</t>
        </is>
      </c>
      <c r="F73" s="90" t="inlineStr">
        <is>
          <t>2025-11-09</t>
        </is>
      </c>
      <c r="G73" s="90" t="inlineStr">
        <is>
          <t>11/11/2025</t>
        </is>
      </c>
      <c r="H73" s="90" t="inlineStr">
        <is>
          <t>11/10/2025</t>
        </is>
      </c>
      <c r="I73" s="90" t="inlineStr">
        <is>
          <t>Delivered</t>
        </is>
      </c>
      <c r="J73" s="90" t="n"/>
      <c r="K73" s="90" t="inlineStr">
        <is>
          <t>Y</t>
        </is>
      </c>
      <c r="L73" s="90" t="n">
        <v>218</v>
      </c>
    </row>
    <row r="74" ht="15" customHeight="1" s="52">
      <c r="B74" s="90" t="n">
        <v>100068</v>
      </c>
      <c r="C74" s="90" t="n">
        <v>200068</v>
      </c>
      <c r="D74" s="90" t="inlineStr">
        <is>
          <t>Southeast</t>
        </is>
      </c>
      <c r="E74" s="90" t="inlineStr">
        <is>
          <t>Northline Logistics</t>
        </is>
      </c>
      <c r="F74" s="90" t="inlineStr">
        <is>
          <t>14-Oct-2025</t>
        </is>
      </c>
      <c r="G74" s="90" t="inlineStr">
        <is>
          <t>10/17/2025</t>
        </is>
      </c>
      <c r="H74" s="90" t="inlineStr">
        <is>
          <t>2025-10-17</t>
        </is>
      </c>
      <c r="I74" s="90" t="inlineStr">
        <is>
          <t>Delivered</t>
        </is>
      </c>
      <c r="J74" s="90" t="n"/>
      <c r="K74" s="90" t="inlineStr">
        <is>
          <t>Y</t>
        </is>
      </c>
      <c r="L74" s="90" t="n">
        <v>594</v>
      </c>
    </row>
    <row r="75" ht="15" customHeight="1" s="52">
      <c r="B75" s="90" t="n">
        <v>100069</v>
      </c>
      <c r="C75" s="90" t="n">
        <v>200069</v>
      </c>
      <c r="D75" s="90" t="inlineStr">
        <is>
          <t>Northeast</t>
        </is>
      </c>
      <c r="E75" s="90" t="inlineStr">
        <is>
          <t>Coastal Express</t>
        </is>
      </c>
      <c r="F75" s="90" t="inlineStr">
        <is>
          <t>08-Dec-2025</t>
        </is>
      </c>
      <c r="G75" s="90" t="inlineStr">
        <is>
          <t>12-Dec-2025</t>
        </is>
      </c>
      <c r="H75" s="90" t="inlineStr">
        <is>
          <t>12/11/2025</t>
        </is>
      </c>
      <c r="I75" s="90" t="inlineStr">
        <is>
          <t>delivered</t>
        </is>
      </c>
      <c r="J75" s="90" t="n"/>
      <c r="K75" s="90" t="inlineStr">
        <is>
          <t>N</t>
        </is>
      </c>
      <c r="L75" s="90" t="n">
        <v>445</v>
      </c>
    </row>
    <row r="76" ht="15" customHeight="1" s="52">
      <c r="B76" s="90" t="n">
        <v>100070</v>
      </c>
      <c r="C76" s="90" t="n">
        <v>200070</v>
      </c>
      <c r="D76" s="90" t="inlineStr">
        <is>
          <t>MOUNTAIN</t>
        </is>
      </c>
      <c r="E76" s="90" t="inlineStr">
        <is>
          <t>Apex Freight</t>
        </is>
      </c>
      <c r="F76" s="90" t="inlineStr">
        <is>
          <t>2025-11-25</t>
        </is>
      </c>
      <c r="G76" s="90" t="inlineStr">
        <is>
          <t>11/28/2025</t>
        </is>
      </c>
      <c r="H76" s="90" t="inlineStr">
        <is>
          <t>28-Nov-2025</t>
        </is>
      </c>
      <c r="I76" s="90" t="inlineStr">
        <is>
          <t>Delivered</t>
        </is>
      </c>
      <c r="J76" s="90" t="n"/>
      <c r="K76" s="90" t="inlineStr">
        <is>
          <t>Y</t>
        </is>
      </c>
      <c r="L76" s="90" t="n">
        <v>549</v>
      </c>
    </row>
    <row r="77" ht="15" customHeight="1" s="52">
      <c r="B77" s="90" t="n">
        <v>100071</v>
      </c>
      <c r="C77" s="90" t="n">
        <v>200071</v>
      </c>
      <c r="D77" s="90" t="inlineStr">
        <is>
          <t>west</t>
        </is>
      </c>
      <c r="E77" s="90" t="inlineStr">
        <is>
          <t xml:space="preserve">  Summit Carriers  </t>
        </is>
      </c>
      <c r="F77" s="90" t="inlineStr">
        <is>
          <t>29-Nov-2025</t>
        </is>
      </c>
      <c r="G77" s="90" t="inlineStr">
        <is>
          <t>03-Dec-2025</t>
        </is>
      </c>
      <c r="H77" s="90" t="inlineStr">
        <is>
          <t>12/02/2025</t>
        </is>
      </c>
      <c r="I77" s="90" t="inlineStr">
        <is>
          <t>Delivered</t>
        </is>
      </c>
      <c r="J77" s="90" t="n"/>
      <c r="K77" s="90" t="inlineStr">
        <is>
          <t>Y</t>
        </is>
      </c>
      <c r="L77" s="90" t="n">
        <v>103</v>
      </c>
    </row>
    <row r="78" ht="15" customHeight="1" s="52">
      <c r="B78" s="90" t="n">
        <v>100072</v>
      </c>
      <c r="C78" s="90" t="n">
        <v>200072</v>
      </c>
      <c r="D78" s="90" t="inlineStr">
        <is>
          <t>West</t>
        </is>
      </c>
      <c r="E78" s="90" t="inlineStr">
        <is>
          <t xml:space="preserve">  Summit Carriers  </t>
        </is>
      </c>
      <c r="F78" s="90" t="inlineStr">
        <is>
          <t>11/01/2025</t>
        </is>
      </c>
      <c r="G78" s="90" t="inlineStr">
        <is>
          <t>05-Nov-2025</t>
        </is>
      </c>
      <c r="H78" s="90" t="inlineStr">
        <is>
          <t>04-Nov-2025</t>
        </is>
      </c>
      <c r="I78" s="90" t="inlineStr">
        <is>
          <t>Delivered</t>
        </is>
      </c>
      <c r="J78" s="90" t="n"/>
      <c r="K78" s="90" t="inlineStr">
        <is>
          <t>N</t>
        </is>
      </c>
      <c r="L78" s="90" t="n">
        <v>347</v>
      </c>
    </row>
    <row r="79" ht="15" customHeight="1" s="52">
      <c r="B79" s="90" t="n">
        <v>100073</v>
      </c>
      <c r="C79" s="90" t="n">
        <v>200073</v>
      </c>
      <c r="D79" s="90" t="inlineStr">
        <is>
          <t>Midwest</t>
        </is>
      </c>
      <c r="E79" s="90" t="inlineStr">
        <is>
          <t>Summit Carriers</t>
        </is>
      </c>
      <c r="F79" s="90" t="inlineStr">
        <is>
          <t>28-Oct-2025</t>
        </is>
      </c>
      <c r="G79" s="90" t="inlineStr">
        <is>
          <t>10/31/2025</t>
        </is>
      </c>
      <c r="H79" s="90" t="inlineStr">
        <is>
          <t>2025-10-30</t>
        </is>
      </c>
      <c r="I79" s="90" t="inlineStr">
        <is>
          <t>Delivered</t>
        </is>
      </c>
      <c r="J79" s="90" t="n"/>
      <c r="K79" s="90" t="inlineStr">
        <is>
          <t>Y</t>
        </is>
      </c>
      <c r="L79" s="90" t="n">
        <v>544</v>
      </c>
    </row>
    <row r="80" ht="15" customHeight="1" s="52">
      <c r="B80" s="90" t="n">
        <v>100074</v>
      </c>
      <c r="C80" s="90" t="n">
        <v>200074</v>
      </c>
      <c r="D80" s="90" t="inlineStr">
        <is>
          <t>Southwest</t>
        </is>
      </c>
      <c r="E80" s="90" t="inlineStr">
        <is>
          <t>Apex Freight</t>
        </is>
      </c>
      <c r="F80" s="90" t="inlineStr">
        <is>
          <t>2025-10-31</t>
        </is>
      </c>
      <c r="G80" s="90" t="inlineStr">
        <is>
          <t>2025-11-04</t>
        </is>
      </c>
      <c r="H80" s="90" t="inlineStr">
        <is>
          <t>2025-11-03</t>
        </is>
      </c>
      <c r="I80" s="90" t="inlineStr">
        <is>
          <t>DELIVERED</t>
        </is>
      </c>
      <c r="J80" s="90" t="n"/>
      <c r="K80" s="90" t="inlineStr">
        <is>
          <t>Y</t>
        </is>
      </c>
      <c r="L80" s="90" t="n">
        <v>517</v>
      </c>
    </row>
    <row r="81" ht="15" customHeight="1" s="52">
      <c r="B81" s="90" t="n">
        <v>100075</v>
      </c>
      <c r="C81" s="90" t="n">
        <v>200075</v>
      </c>
      <c r="D81" s="90" t="inlineStr">
        <is>
          <t>Mountain</t>
        </is>
      </c>
      <c r="E81" s="90" t="inlineStr">
        <is>
          <t xml:space="preserve">  Apex Freight  </t>
        </is>
      </c>
      <c r="F81" s="90" t="inlineStr">
        <is>
          <t>2025-10-12</t>
        </is>
      </c>
      <c r="G81" s="90" t="inlineStr">
        <is>
          <t>2025-10-15</t>
        </is>
      </c>
      <c r="H81" s="90" t="inlineStr">
        <is>
          <t>14-Oct-2025</t>
        </is>
      </c>
      <c r="I81" s="90" t="inlineStr">
        <is>
          <t>Delivered</t>
        </is>
      </c>
      <c r="J81" s="90" t="n"/>
      <c r="K81" s="90" t="inlineStr">
        <is>
          <t>Y</t>
        </is>
      </c>
      <c r="L81" s="90" t="n">
        <v>392</v>
      </c>
    </row>
    <row r="82" ht="15" customHeight="1" s="52">
      <c r="B82" s="90" t="n">
        <v>100076</v>
      </c>
      <c r="C82" s="90" t="n">
        <v>200076</v>
      </c>
      <c r="D82" s="90" t="inlineStr">
        <is>
          <t>Mountain</t>
        </is>
      </c>
      <c r="E82" s="90" t="inlineStr">
        <is>
          <t>Coastal Express</t>
        </is>
      </c>
      <c r="F82" s="90" t="inlineStr">
        <is>
          <t>24-Nov-2025</t>
        </is>
      </c>
      <c r="G82" s="90" t="inlineStr">
        <is>
          <t>29-Nov-2025</t>
        </is>
      </c>
      <c r="H82" s="90" t="inlineStr">
        <is>
          <t>11/28/2025</t>
        </is>
      </c>
      <c r="I82" s="90" t="inlineStr">
        <is>
          <t>Delivered</t>
        </is>
      </c>
      <c r="J82" s="90" t="n"/>
      <c r="K82" s="90" t="inlineStr">
        <is>
          <t>Y</t>
        </is>
      </c>
      <c r="L82" s="90" t="n">
        <v>251</v>
      </c>
    </row>
    <row r="83" ht="15" customHeight="1" s="52">
      <c r="B83" s="90" t="n">
        <v>100077</v>
      </c>
      <c r="C83" s="90" t="n">
        <v>200077</v>
      </c>
      <c r="D83" s="90" t="inlineStr">
        <is>
          <t>Southeast</t>
        </is>
      </c>
      <c r="E83" s="90" t="inlineStr">
        <is>
          <t>Northline Logistics</t>
        </is>
      </c>
      <c r="F83" s="90" t="inlineStr">
        <is>
          <t>11/10/2025</t>
        </is>
      </c>
      <c r="G83" s="90" t="inlineStr">
        <is>
          <t>2025-11-12</t>
        </is>
      </c>
      <c r="H83" s="90" t="inlineStr">
        <is>
          <t>2025-11-12</t>
        </is>
      </c>
      <c r="I83" s="90" t="inlineStr">
        <is>
          <t>DELIVERED</t>
        </is>
      </c>
      <c r="J83" s="90" t="n"/>
      <c r="K83" s="90" t="inlineStr">
        <is>
          <t>Y</t>
        </is>
      </c>
      <c r="L83" s="90" t="n">
        <v>510</v>
      </c>
    </row>
    <row r="84" ht="15" customHeight="1" s="52">
      <c r="B84" s="90" t="n">
        <v>100078</v>
      </c>
      <c r="C84" s="90" t="n">
        <v>200078</v>
      </c>
      <c r="D84" s="90" t="inlineStr">
        <is>
          <t>West</t>
        </is>
      </c>
      <c r="E84" s="90" t="inlineStr">
        <is>
          <t xml:space="preserve">  Coastal Express  </t>
        </is>
      </c>
      <c r="F84" s="90" t="inlineStr">
        <is>
          <t>10/13/2025</t>
        </is>
      </c>
      <c r="G84" s="90" t="inlineStr">
        <is>
          <t>16-Oct-2025</t>
        </is>
      </c>
      <c r="H84" s="90" t="inlineStr">
        <is>
          <t>10/15/2025</t>
        </is>
      </c>
      <c r="I84" s="90" t="inlineStr">
        <is>
          <t>Delivered</t>
        </is>
      </c>
      <c r="J84" s="90" t="n"/>
      <c r="K84" s="90" t="inlineStr">
        <is>
          <t>N</t>
        </is>
      </c>
      <c r="L84" s="90" t="n">
        <v>561</v>
      </c>
    </row>
    <row r="85" ht="15" customHeight="1" s="52">
      <c r="B85" s="90" t="n">
        <v>100079</v>
      </c>
      <c r="C85" s="90" t="n">
        <v>200079</v>
      </c>
      <c r="D85" s="90" t="inlineStr">
        <is>
          <t>midwest</t>
        </is>
      </c>
      <c r="E85" s="90" t="inlineStr">
        <is>
          <t>Coastal Express</t>
        </is>
      </c>
      <c r="F85" s="90" t="inlineStr">
        <is>
          <t>2025-10-06</t>
        </is>
      </c>
      <c r="G85" s="90" t="inlineStr">
        <is>
          <t>08-Oct-2025</t>
        </is>
      </c>
      <c r="H85" s="90" t="inlineStr">
        <is>
          <t>10/08/2025</t>
        </is>
      </c>
      <c r="I85" s="90" t="inlineStr">
        <is>
          <t>Delivered</t>
        </is>
      </c>
      <c r="J85" s="90" t="n"/>
      <c r="K85" s="90" t="inlineStr">
        <is>
          <t>Y</t>
        </is>
      </c>
      <c r="L85" s="90" t="n">
        <v>517</v>
      </c>
    </row>
    <row r="86" ht="15" customHeight="1" s="52">
      <c r="B86" s="90" t="n">
        <v>100080</v>
      </c>
      <c r="C86" s="90" t="n">
        <v>200080</v>
      </c>
      <c r="D86" s="90" t="inlineStr">
        <is>
          <t>Southeast</t>
        </is>
      </c>
      <c r="E86" s="90" t="inlineStr">
        <is>
          <t>Apex Freight</t>
        </is>
      </c>
      <c r="F86" s="90" t="inlineStr">
        <is>
          <t>12/13/2025</t>
        </is>
      </c>
      <c r="G86" s="90" t="inlineStr">
        <is>
          <t>16-Dec-2025</t>
        </is>
      </c>
      <c r="H86" s="90" t="inlineStr">
        <is>
          <t>16-Dec-2025</t>
        </is>
      </c>
      <c r="I86" s="90" t="inlineStr">
        <is>
          <t>Delivered</t>
        </is>
      </c>
      <c r="J86" s="90" t="n"/>
      <c r="K86" s="90" t="inlineStr">
        <is>
          <t>Y</t>
        </is>
      </c>
      <c r="L86" s="90" t="n">
        <v>273</v>
      </c>
    </row>
    <row r="87" ht="15" customHeight="1" s="52">
      <c r="B87" s="90" t="n">
        <v>100081</v>
      </c>
      <c r="C87" s="90" t="n">
        <v>200081</v>
      </c>
      <c r="D87" s="90" t="inlineStr">
        <is>
          <t>Mountain</t>
        </is>
      </c>
      <c r="E87" s="90" t="inlineStr">
        <is>
          <t>Apex Freight</t>
        </is>
      </c>
      <c r="F87" s="90" t="inlineStr">
        <is>
          <t>2025-10-09</t>
        </is>
      </c>
      <c r="G87" s="90" t="inlineStr">
        <is>
          <t>13-Oct-2025</t>
        </is>
      </c>
      <c r="H87" s="90" t="inlineStr">
        <is>
          <t>10/13/2025</t>
        </is>
      </c>
      <c r="I87" s="90" t="inlineStr">
        <is>
          <t>Delivered</t>
        </is>
      </c>
      <c r="J87" s="90" t="n"/>
      <c r="K87" s="90" t="inlineStr">
        <is>
          <t>Y</t>
        </is>
      </c>
      <c r="L87" s="90" t="n">
        <v>591</v>
      </c>
    </row>
    <row r="88" ht="15" customHeight="1" s="52">
      <c r="B88" s="90" t="n">
        <v>100082</v>
      </c>
      <c r="C88" s="90" t="n">
        <v>200082</v>
      </c>
      <c r="D88" s="90" t="inlineStr">
        <is>
          <t>West</t>
        </is>
      </c>
      <c r="E88" s="90" t="inlineStr">
        <is>
          <t>Apex Freight</t>
        </is>
      </c>
      <c r="F88" s="90" t="inlineStr">
        <is>
          <t>01-Nov-2025</t>
        </is>
      </c>
      <c r="G88" s="90" t="inlineStr">
        <is>
          <t>2025-11-03</t>
        </is>
      </c>
      <c r="H88" s="90" t="inlineStr">
        <is>
          <t>03-Nov-2025</t>
        </is>
      </c>
      <c r="I88" s="90" t="inlineStr">
        <is>
          <t>Delivered</t>
        </is>
      </c>
      <c r="J88" s="90" t="n"/>
      <c r="K88" s="90" t="inlineStr">
        <is>
          <t>Y</t>
        </is>
      </c>
      <c r="L88" s="90" t="n">
        <v>404</v>
      </c>
    </row>
    <row r="89" ht="15" customHeight="1" s="52">
      <c r="B89" s="90" t="n">
        <v>100083</v>
      </c>
      <c r="C89" s="90" t="n">
        <v>200083</v>
      </c>
      <c r="D89" s="90" t="inlineStr">
        <is>
          <t>MOUNTAIN</t>
        </is>
      </c>
      <c r="E89" s="90" t="inlineStr">
        <is>
          <t>Summit Carriers</t>
        </is>
      </c>
      <c r="F89" s="90" t="inlineStr">
        <is>
          <t>08-Nov-2025</t>
        </is>
      </c>
      <c r="G89" s="90" t="inlineStr">
        <is>
          <t>11/13/2025</t>
        </is>
      </c>
      <c r="H89" s="90" t="inlineStr">
        <is>
          <t>13-Nov-2025</t>
        </is>
      </c>
      <c r="I89" s="90" t="inlineStr">
        <is>
          <t>Delivered</t>
        </is>
      </c>
      <c r="J89" s="90" t="n"/>
      <c r="K89" s="90" t="inlineStr">
        <is>
          <t>Y</t>
        </is>
      </c>
      <c r="L89" s="90" t="n">
        <v>116</v>
      </c>
    </row>
    <row r="90" ht="15" customHeight="1" s="52">
      <c r="B90" s="90" t="n">
        <v>100084</v>
      </c>
      <c r="C90" s="90" t="n">
        <v>200084</v>
      </c>
      <c r="D90" s="90" t="inlineStr">
        <is>
          <t>Southwest</t>
        </is>
      </c>
      <c r="E90" s="90" t="inlineStr">
        <is>
          <t>Northline Logistics</t>
        </is>
      </c>
      <c r="F90" s="90" t="inlineStr">
        <is>
          <t>03-Nov-2025</t>
        </is>
      </c>
      <c r="G90" s="90" t="inlineStr">
        <is>
          <t>05-Nov-2025</t>
        </is>
      </c>
      <c r="H90" s="90" t="n"/>
      <c r="I90" s="90" t="inlineStr">
        <is>
          <t>Failed - Carrier Delay</t>
        </is>
      </c>
      <c r="J90" s="90" t="inlineStr">
        <is>
          <t>CARRIER_DELAY</t>
        </is>
      </c>
      <c r="K90" s="90" t="n"/>
      <c r="L90" s="90" t="n">
        <v>192</v>
      </c>
    </row>
    <row r="91" ht="15" customHeight="1" s="52">
      <c r="B91" s="90" t="n">
        <v>100085</v>
      </c>
      <c r="C91" s="90" t="n">
        <v>200085</v>
      </c>
      <c r="D91" s="90" t="inlineStr">
        <is>
          <t>Southeast</t>
        </is>
      </c>
      <c r="E91" s="90" t="inlineStr">
        <is>
          <t>Northline Logistics</t>
        </is>
      </c>
      <c r="F91" s="90" t="inlineStr">
        <is>
          <t>10/01/2025</t>
        </is>
      </c>
      <c r="G91" s="90" t="inlineStr">
        <is>
          <t>2025-10-05</t>
        </is>
      </c>
      <c r="H91" s="90" t="inlineStr">
        <is>
          <t>10/04/2025</t>
        </is>
      </c>
      <c r="I91" s="90" t="inlineStr">
        <is>
          <t>DELIVERED</t>
        </is>
      </c>
      <c r="J91" s="90" t="n"/>
      <c r="K91" s="90" t="inlineStr">
        <is>
          <t>N</t>
        </is>
      </c>
      <c r="L91" s="90" t="n">
        <v>310</v>
      </c>
    </row>
    <row r="92" ht="15" customHeight="1" s="52">
      <c r="B92" s="90" t="n">
        <v>100086</v>
      </c>
      <c r="C92" s="90" t="n">
        <v>200086</v>
      </c>
      <c r="D92" s="90" t="inlineStr">
        <is>
          <t>West</t>
        </is>
      </c>
      <c r="E92" s="90" t="inlineStr">
        <is>
          <t>Summit Carriers</t>
        </is>
      </c>
      <c r="F92" s="90" t="inlineStr">
        <is>
          <t>10-Oct-2025</t>
        </is>
      </c>
      <c r="G92" s="90" t="inlineStr">
        <is>
          <t>10/13/2025</t>
        </is>
      </c>
      <c r="H92" s="90" t="inlineStr">
        <is>
          <t>10/13/2025</t>
        </is>
      </c>
      <c r="I92" s="90" t="inlineStr">
        <is>
          <t>Delivered</t>
        </is>
      </c>
      <c r="J92" s="90" t="n"/>
      <c r="K92" s="90" t="inlineStr">
        <is>
          <t>Y</t>
        </is>
      </c>
      <c r="L92" s="90" t="n">
        <v>572</v>
      </c>
    </row>
    <row r="93" ht="15" customHeight="1" s="52">
      <c r="B93" s="90" t="n">
        <v>100087</v>
      </c>
      <c r="C93" s="90" t="n">
        <v>200087</v>
      </c>
      <c r="D93" s="90" t="inlineStr">
        <is>
          <t>Southwest</t>
        </is>
      </c>
      <c r="E93" s="90" t="inlineStr">
        <is>
          <t>Northline Logistics</t>
        </is>
      </c>
      <c r="F93" s="90" t="inlineStr">
        <is>
          <t>04-Nov-2025</t>
        </is>
      </c>
      <c r="G93" s="90" t="inlineStr">
        <is>
          <t>07-Nov-2025</t>
        </is>
      </c>
      <c r="H93" s="90" t="n"/>
      <c r="I93" s="90" t="inlineStr">
        <is>
          <t>Failed - Carrier Delay</t>
        </is>
      </c>
      <c r="J93" s="90" t="inlineStr">
        <is>
          <t>CARRIER_DELAY</t>
        </is>
      </c>
      <c r="K93" s="90" t="n"/>
      <c r="L93" s="90" t="n">
        <v>184</v>
      </c>
    </row>
    <row r="94" ht="15" customHeight="1" s="52">
      <c r="B94" s="90" t="n">
        <v>100088</v>
      </c>
      <c r="C94" s="90" t="n">
        <v>200088</v>
      </c>
      <c r="D94" s="90" t="inlineStr">
        <is>
          <t>West</t>
        </is>
      </c>
      <c r="E94" s="90" t="inlineStr">
        <is>
          <t>Coastal Express</t>
        </is>
      </c>
      <c r="F94" s="90" t="inlineStr">
        <is>
          <t>26-Nov-2025</t>
        </is>
      </c>
      <c r="G94" s="90" t="inlineStr">
        <is>
          <t>2025-11-28</t>
        </is>
      </c>
      <c r="H94" s="90" t="inlineStr">
        <is>
          <t>2025-11-27</t>
        </is>
      </c>
      <c r="I94" s="90" t="inlineStr">
        <is>
          <t>Delivered</t>
        </is>
      </c>
      <c r="J94" s="90" t="n"/>
      <c r="K94" s="90" t="inlineStr">
        <is>
          <t>Y</t>
        </is>
      </c>
      <c r="L94" s="90" t="n">
        <v>527</v>
      </c>
    </row>
    <row r="95" ht="15" customHeight="1" s="52">
      <c r="B95" s="90" t="n">
        <v>100089</v>
      </c>
      <c r="C95" s="90" t="n">
        <v>200089</v>
      </c>
      <c r="D95" s="90" t="inlineStr">
        <is>
          <t>Mountain</t>
        </is>
      </c>
      <c r="E95" s="90" t="inlineStr">
        <is>
          <t>Summit Carriers</t>
        </is>
      </c>
      <c r="F95" s="90" t="inlineStr">
        <is>
          <t>10/11/2025</t>
        </is>
      </c>
      <c r="G95" s="90" t="inlineStr">
        <is>
          <t>10/16/2025</t>
        </is>
      </c>
      <c r="H95" s="90" t="n"/>
      <c r="I95" s="90" t="inlineStr">
        <is>
          <t>Failed - Wrong Address</t>
        </is>
      </c>
      <c r="J95" s="90" t="inlineStr">
        <is>
          <t>ADDR_ERR</t>
        </is>
      </c>
      <c r="K95" s="90" t="n"/>
      <c r="L95" s="90" t="n">
        <v>457</v>
      </c>
    </row>
    <row r="96" ht="15" customHeight="1" s="52">
      <c r="B96" s="90" t="n">
        <v>100090</v>
      </c>
      <c r="C96" s="90" t="n">
        <v>200090</v>
      </c>
      <c r="D96" s="90" t="inlineStr">
        <is>
          <t xml:space="preserve">  Mid-Atlantic  </t>
        </is>
      </c>
      <c r="E96" s="90" t="inlineStr">
        <is>
          <t>COASTAL EXPRESS</t>
        </is>
      </c>
      <c r="F96" s="90" t="inlineStr">
        <is>
          <t>2025-10-04</t>
        </is>
      </c>
      <c r="G96" s="90" t="inlineStr">
        <is>
          <t>10/06/2025</t>
        </is>
      </c>
      <c r="H96" s="90" t="inlineStr">
        <is>
          <t>06-Oct-2025</t>
        </is>
      </c>
      <c r="I96" s="90" t="inlineStr">
        <is>
          <t>delivered</t>
        </is>
      </c>
      <c r="J96" s="90" t="n"/>
      <c r="K96" s="90" t="inlineStr">
        <is>
          <t>Y</t>
        </is>
      </c>
      <c r="L96" s="90" t="n">
        <v>290</v>
      </c>
    </row>
    <row r="97" ht="15" customHeight="1" s="52">
      <c r="B97" s="90" t="n">
        <v>100091</v>
      </c>
      <c r="C97" s="90" t="n">
        <v>200091</v>
      </c>
      <c r="D97" s="90" t="inlineStr">
        <is>
          <t>Northeast</t>
        </is>
      </c>
      <c r="E97" s="90" t="inlineStr">
        <is>
          <t>northline logistics</t>
        </is>
      </c>
      <c r="F97" s="90" t="inlineStr">
        <is>
          <t>30-Nov-2025</t>
        </is>
      </c>
      <c r="G97" s="90" t="inlineStr">
        <is>
          <t>12/05/2025</t>
        </is>
      </c>
      <c r="H97" s="90" t="inlineStr">
        <is>
          <t>12/05/2025</t>
        </is>
      </c>
      <c r="I97" s="90" t="inlineStr">
        <is>
          <t xml:space="preserve">  Delivered  </t>
        </is>
      </c>
      <c r="J97" s="90" t="n"/>
      <c r="K97" s="90" t="inlineStr">
        <is>
          <t>Y</t>
        </is>
      </c>
      <c r="L97" s="90" t="n">
        <v>461</v>
      </c>
    </row>
    <row r="98" ht="15" customHeight="1" s="52">
      <c r="B98" s="90" t="n">
        <v>100092</v>
      </c>
      <c r="C98" s="90" t="n">
        <v>200092</v>
      </c>
      <c r="D98" s="90" t="inlineStr">
        <is>
          <t>Mountain</t>
        </is>
      </c>
      <c r="E98" s="90" t="inlineStr">
        <is>
          <t>Apex Freight</t>
        </is>
      </c>
      <c r="F98" s="90" t="inlineStr">
        <is>
          <t>2025-11-30</t>
        </is>
      </c>
      <c r="G98" s="90" t="inlineStr">
        <is>
          <t>03-Dec-2025</t>
        </is>
      </c>
      <c r="H98" s="90" t="inlineStr">
        <is>
          <t>12/03/2025</t>
        </is>
      </c>
      <c r="I98" s="90" t="inlineStr">
        <is>
          <t>delivered</t>
        </is>
      </c>
      <c r="J98" s="90" t="n"/>
      <c r="K98" s="90" t="inlineStr">
        <is>
          <t>Y</t>
        </is>
      </c>
      <c r="L98" s="90" t="n">
        <v>352</v>
      </c>
    </row>
    <row r="99" ht="15" customHeight="1" s="52">
      <c r="B99" s="90" t="n">
        <v>100093</v>
      </c>
      <c r="C99" s="90" t="n">
        <v>200093</v>
      </c>
      <c r="D99" s="90" t="inlineStr">
        <is>
          <t>Pacific Northwest</t>
        </is>
      </c>
      <c r="E99" s="90" t="inlineStr">
        <is>
          <t>summit carriers</t>
        </is>
      </c>
      <c r="F99" s="90" t="inlineStr">
        <is>
          <t>06-Nov-2025</t>
        </is>
      </c>
      <c r="G99" s="90" t="inlineStr">
        <is>
          <t>10-Nov-2025</t>
        </is>
      </c>
      <c r="H99" s="90" t="inlineStr">
        <is>
          <t>11/09/2025</t>
        </is>
      </c>
      <c r="I99" s="90" t="inlineStr">
        <is>
          <t>Delivered</t>
        </is>
      </c>
      <c r="J99" s="90" t="n"/>
      <c r="K99" s="90" t="inlineStr">
        <is>
          <t>Y</t>
        </is>
      </c>
      <c r="L99" s="90" t="n">
        <v>273</v>
      </c>
    </row>
    <row r="100" ht="15" customHeight="1" s="52">
      <c r="B100" s="90" t="n">
        <v>100094</v>
      </c>
      <c r="C100" s="90" t="n">
        <v>200094</v>
      </c>
      <c r="D100" s="90" t="inlineStr">
        <is>
          <t>Mid-Atlantic</t>
        </is>
      </c>
      <c r="E100" s="90" t="inlineStr">
        <is>
          <t>Apex Freight</t>
        </is>
      </c>
      <c r="F100" s="90" t="inlineStr">
        <is>
          <t>11/21/2025</t>
        </is>
      </c>
      <c r="G100" s="90" t="inlineStr">
        <is>
          <t>26-Nov-2025</t>
        </is>
      </c>
      <c r="H100" s="90" t="inlineStr">
        <is>
          <t>2025-11-30</t>
        </is>
      </c>
      <c r="I100" s="90" t="inlineStr">
        <is>
          <t>Delivered - Late</t>
        </is>
      </c>
      <c r="J100" s="90" t="n"/>
      <c r="K100" s="90" t="inlineStr">
        <is>
          <t>Y</t>
        </is>
      </c>
      <c r="L100" s="90" t="n">
        <v>207</v>
      </c>
    </row>
    <row r="101" ht="15" customHeight="1" s="52">
      <c r="B101" s="90" t="n">
        <v>100095</v>
      </c>
      <c r="C101" s="90" t="n">
        <v>200095</v>
      </c>
      <c r="D101" s="90" t="inlineStr">
        <is>
          <t>Mid-Atlantic</t>
        </is>
      </c>
      <c r="E101" s="90" t="inlineStr">
        <is>
          <t>Summit Carriers</t>
        </is>
      </c>
      <c r="F101" s="90" t="inlineStr">
        <is>
          <t>2025-12-20</t>
        </is>
      </c>
      <c r="G101" s="90" t="inlineStr">
        <is>
          <t>12/24/2025</t>
        </is>
      </c>
      <c r="H101" s="90" t="inlineStr">
        <is>
          <t>2025-12-24</t>
        </is>
      </c>
      <c r="I101" s="90" t="inlineStr">
        <is>
          <t>Delivered</t>
        </is>
      </c>
      <c r="J101" s="90" t="n"/>
      <c r="K101" s="90" t="inlineStr">
        <is>
          <t>Y</t>
        </is>
      </c>
      <c r="L101" s="90" t="n">
        <v>463</v>
      </c>
    </row>
    <row r="102" ht="15" customHeight="1" s="52">
      <c r="B102" s="90" t="n">
        <v>100096</v>
      </c>
      <c r="C102" s="90" t="n">
        <v>200096</v>
      </c>
      <c r="D102" s="90" t="inlineStr">
        <is>
          <t>Mountain</t>
        </is>
      </c>
      <c r="E102" s="90" t="inlineStr">
        <is>
          <t>apex freight</t>
        </is>
      </c>
      <c r="F102" s="90" t="inlineStr">
        <is>
          <t>10/04/2025</t>
        </is>
      </c>
      <c r="G102" s="90" t="inlineStr">
        <is>
          <t>10/09/2025</t>
        </is>
      </c>
      <c r="H102" s="90" t="inlineStr">
        <is>
          <t>10/08/2025</t>
        </is>
      </c>
      <c r="I102" s="90" t="inlineStr">
        <is>
          <t>Delivered</t>
        </is>
      </c>
      <c r="J102" s="90" t="n"/>
      <c r="K102" s="90" t="inlineStr">
        <is>
          <t>Y</t>
        </is>
      </c>
      <c r="L102" s="90" t="n">
        <v>580</v>
      </c>
    </row>
    <row r="103" ht="15" customHeight="1" s="52">
      <c r="B103" s="90" t="n">
        <v>100097</v>
      </c>
      <c r="C103" s="90" t="n">
        <v>200097</v>
      </c>
      <c r="D103" s="90" t="inlineStr">
        <is>
          <t>Pacific Northwest</t>
        </is>
      </c>
      <c r="E103" s="90" t="inlineStr">
        <is>
          <t xml:space="preserve">  Apex Freight  </t>
        </is>
      </c>
      <c r="F103" s="90" t="inlineStr">
        <is>
          <t>29-Oct-2025</t>
        </is>
      </c>
      <c r="G103" s="90" t="inlineStr">
        <is>
          <t>31-Oct-2025</t>
        </is>
      </c>
      <c r="H103" s="90" t="inlineStr">
        <is>
          <t>10/31/2025</t>
        </is>
      </c>
      <c r="I103" s="90" t="inlineStr">
        <is>
          <t>Delivered</t>
        </is>
      </c>
      <c r="J103" s="90" t="n"/>
      <c r="K103" s="90" t="inlineStr">
        <is>
          <t>Y</t>
        </is>
      </c>
      <c r="L103" s="90" t="n">
        <v>313</v>
      </c>
    </row>
    <row r="104" ht="15" customHeight="1" s="52">
      <c r="B104" s="90" t="n">
        <v>100098</v>
      </c>
      <c r="C104" s="90" t="n">
        <v>200098</v>
      </c>
      <c r="D104" s="90" t="inlineStr">
        <is>
          <t>West</t>
        </is>
      </c>
      <c r="E104" s="90" t="inlineStr">
        <is>
          <t>Summit Carriers</t>
        </is>
      </c>
      <c r="F104" s="90" t="inlineStr">
        <is>
          <t>01-Dec-2025</t>
        </is>
      </c>
      <c r="G104" s="90" t="inlineStr">
        <is>
          <t>05-Dec-2025</t>
        </is>
      </c>
      <c r="H104" s="90" t="inlineStr">
        <is>
          <t>12/04/2025</t>
        </is>
      </c>
      <c r="I104" s="90" t="inlineStr">
        <is>
          <t>Delivered</t>
        </is>
      </c>
      <c r="J104" s="90" t="n"/>
      <c r="K104" s="90" t="inlineStr">
        <is>
          <t>Y</t>
        </is>
      </c>
      <c r="L104" s="90" t="n">
        <v>535</v>
      </c>
    </row>
    <row r="105" ht="15" customHeight="1" s="52">
      <c r="B105" s="90" t="n">
        <v>100099</v>
      </c>
      <c r="C105" s="90" t="n">
        <v>200099</v>
      </c>
      <c r="D105" s="90" t="inlineStr">
        <is>
          <t>Midwest</t>
        </is>
      </c>
      <c r="E105" s="90" t="inlineStr">
        <is>
          <t>Apex Freight</t>
        </is>
      </c>
      <c r="F105" s="90" t="inlineStr">
        <is>
          <t>05-Nov-2025</t>
        </is>
      </c>
      <c r="G105" s="90" t="inlineStr">
        <is>
          <t>11/09/2025</t>
        </is>
      </c>
      <c r="H105" s="90" t="inlineStr">
        <is>
          <t>2025-11-08</t>
        </is>
      </c>
      <c r="I105" s="90" t="inlineStr">
        <is>
          <t>Delivered</t>
        </is>
      </c>
      <c r="J105" s="90" t="n"/>
      <c r="K105" s="90" t="inlineStr">
        <is>
          <t>Y</t>
        </is>
      </c>
      <c r="L105" s="90" t="n">
        <v>304</v>
      </c>
    </row>
    <row r="106" ht="15" customHeight="1" s="52">
      <c r="B106" s="90" t="n">
        <v>100100</v>
      </c>
      <c r="C106" s="90" t="n">
        <v>200100</v>
      </c>
      <c r="D106" s="90" t="inlineStr">
        <is>
          <t>West</t>
        </is>
      </c>
      <c r="E106" s="90" t="inlineStr">
        <is>
          <t>Summit Carriers</t>
        </is>
      </c>
      <c r="F106" s="90" t="inlineStr">
        <is>
          <t>10/20/2025</t>
        </is>
      </c>
      <c r="G106" s="90" t="inlineStr">
        <is>
          <t>10/24/2025</t>
        </is>
      </c>
      <c r="H106" s="90" t="inlineStr">
        <is>
          <t>2025-10-23</t>
        </is>
      </c>
      <c r="I106" s="90" t="inlineStr">
        <is>
          <t>Delivered</t>
        </is>
      </c>
      <c r="J106" s="90" t="n"/>
      <c r="K106" s="90" t="inlineStr">
        <is>
          <t>Y</t>
        </is>
      </c>
      <c r="L106" s="90" t="n">
        <v>344</v>
      </c>
    </row>
    <row r="107" ht="15" customHeight="1" s="52">
      <c r="B107" s="90" t="n">
        <v>100101</v>
      </c>
      <c r="C107" s="90" t="n">
        <v>200101</v>
      </c>
      <c r="D107" s="90" t="inlineStr">
        <is>
          <t>Southwest</t>
        </is>
      </c>
      <c r="E107" s="90" t="inlineStr">
        <is>
          <t xml:space="preserve">  Northline Logistics  </t>
        </is>
      </c>
      <c r="F107" s="90" t="inlineStr">
        <is>
          <t>12/13/2025</t>
        </is>
      </c>
      <c r="G107" s="90" t="inlineStr">
        <is>
          <t>17-Dec-2025</t>
        </is>
      </c>
      <c r="H107" s="90" t="inlineStr">
        <is>
          <t>12/17/2025</t>
        </is>
      </c>
      <c r="I107" s="90" t="inlineStr">
        <is>
          <t>Delivered</t>
        </is>
      </c>
      <c r="J107" s="90" t="n"/>
      <c r="K107" s="90" t="inlineStr">
        <is>
          <t>Y</t>
        </is>
      </c>
      <c r="L107" s="90" t="n">
        <v>499</v>
      </c>
    </row>
    <row r="108" ht="15" customHeight="1" s="52">
      <c r="B108" s="90" t="n">
        <v>100102</v>
      </c>
      <c r="C108" s="90" t="n">
        <v>200102</v>
      </c>
      <c r="D108" s="90" t="inlineStr">
        <is>
          <t>Pacific Northwest</t>
        </is>
      </c>
      <c r="E108" s="90" t="inlineStr">
        <is>
          <t>Summit Carriers</t>
        </is>
      </c>
      <c r="F108" s="90" t="inlineStr">
        <is>
          <t>12/24/2025</t>
        </is>
      </c>
      <c r="G108" s="90" t="inlineStr">
        <is>
          <t>2025-12-27</t>
        </is>
      </c>
      <c r="H108" s="90" t="inlineStr">
        <is>
          <t>2025-12-30</t>
        </is>
      </c>
      <c r="I108" s="90" t="inlineStr">
        <is>
          <t>Delivered - Late</t>
        </is>
      </c>
      <c r="J108" s="90" t="n"/>
      <c r="K108" s="90" t="inlineStr">
        <is>
          <t>Y</t>
        </is>
      </c>
      <c r="L108" s="90" t="n">
        <v>465</v>
      </c>
    </row>
    <row r="109" ht="15" customHeight="1" s="52">
      <c r="B109" s="90" t="n">
        <v>100103</v>
      </c>
      <c r="C109" s="90" t="n">
        <v>200103</v>
      </c>
      <c r="D109" s="90" t="inlineStr">
        <is>
          <t>Southeast</t>
        </is>
      </c>
      <c r="E109" s="90" t="inlineStr">
        <is>
          <t>Summit Carriers</t>
        </is>
      </c>
      <c r="F109" s="90" t="inlineStr">
        <is>
          <t>10/02/2025</t>
        </is>
      </c>
      <c r="G109" s="90" t="inlineStr">
        <is>
          <t>10/05/2025</t>
        </is>
      </c>
      <c r="H109" s="90" t="inlineStr">
        <is>
          <t>10/05/2025</t>
        </is>
      </c>
      <c r="I109" s="90" t="inlineStr">
        <is>
          <t>Delivered</t>
        </is>
      </c>
      <c r="J109" s="90" t="n"/>
      <c r="K109" s="90" t="inlineStr">
        <is>
          <t>Y</t>
        </is>
      </c>
      <c r="L109" s="90" t="n">
        <v>286</v>
      </c>
    </row>
    <row r="110" ht="15" customHeight="1" s="52">
      <c r="B110" s="90" t="n">
        <v>100104</v>
      </c>
      <c r="C110" s="90" t="n">
        <v>200104</v>
      </c>
      <c r="D110" s="90" t="inlineStr">
        <is>
          <t>Mid-Atlantic</t>
        </is>
      </c>
      <c r="E110" s="90" t="inlineStr">
        <is>
          <t>Summit Carriers</t>
        </is>
      </c>
      <c r="F110" s="90" t="inlineStr">
        <is>
          <t>23-Dec-2025</t>
        </is>
      </c>
      <c r="G110" s="90" t="inlineStr">
        <is>
          <t>12/25/2025</t>
        </is>
      </c>
      <c r="H110" s="90" t="inlineStr">
        <is>
          <t>2025-12-24</t>
        </is>
      </c>
      <c r="I110" s="90" t="inlineStr">
        <is>
          <t>Delivered</t>
        </is>
      </c>
      <c r="J110" s="90" t="n"/>
      <c r="K110" s="90" t="inlineStr">
        <is>
          <t>Y</t>
        </is>
      </c>
      <c r="L110" s="90" t="n">
        <v>514</v>
      </c>
    </row>
    <row r="111" ht="15" customHeight="1" s="52">
      <c r="B111" s="90" t="n">
        <v>100105</v>
      </c>
      <c r="C111" s="90" t="n">
        <v>200105</v>
      </c>
      <c r="D111" s="90" t="inlineStr">
        <is>
          <t>Northeast</t>
        </is>
      </c>
      <c r="E111" s="90" t="inlineStr">
        <is>
          <t>Apex Freight</t>
        </is>
      </c>
      <c r="F111" s="90" t="inlineStr">
        <is>
          <t>31-Oct-2025</t>
        </is>
      </c>
      <c r="G111" s="90" t="inlineStr">
        <is>
          <t>03-Nov-2025</t>
        </is>
      </c>
      <c r="H111" s="90" t="inlineStr">
        <is>
          <t>11/02/2025</t>
        </is>
      </c>
      <c r="I111" s="90" t="inlineStr">
        <is>
          <t>Delivered</t>
        </is>
      </c>
      <c r="J111" s="90" t="n"/>
      <c r="K111" s="90" t="inlineStr">
        <is>
          <t>Y</t>
        </is>
      </c>
      <c r="L111" s="90" t="n">
        <v>117</v>
      </c>
    </row>
    <row r="112" ht="15" customHeight="1" s="52">
      <c r="B112" s="90" t="n">
        <v>100106</v>
      </c>
      <c r="C112" s="90" t="n">
        <v>200106</v>
      </c>
      <c r="D112" s="90" t="inlineStr">
        <is>
          <t>Mountain</t>
        </is>
      </c>
      <c r="E112" s="90" t="inlineStr">
        <is>
          <t>Northline Logistics</t>
        </is>
      </c>
      <c r="F112" s="90" t="inlineStr">
        <is>
          <t>2025-12-28</t>
        </is>
      </c>
      <c r="G112" s="90" t="inlineStr">
        <is>
          <t>31-Dec-2025</t>
        </is>
      </c>
      <c r="H112" s="90" t="inlineStr">
        <is>
          <t>2026-01-01</t>
        </is>
      </c>
      <c r="I112" s="90" t="inlineStr">
        <is>
          <t>Delivered - Late</t>
        </is>
      </c>
      <c r="J112" s="90" t="n"/>
      <c r="K112" s="90" t="inlineStr">
        <is>
          <t>Y</t>
        </is>
      </c>
      <c r="L112" s="90" t="n">
        <v>398</v>
      </c>
    </row>
    <row r="113" ht="15" customHeight="1" s="52">
      <c r="B113" s="90" t="n">
        <v>100107</v>
      </c>
      <c r="C113" s="90" t="n">
        <v>200107</v>
      </c>
      <c r="D113" s="90" t="inlineStr">
        <is>
          <t>Pacific Northwest</t>
        </is>
      </c>
      <c r="E113" s="90" t="inlineStr">
        <is>
          <t>Northline Logistics</t>
        </is>
      </c>
      <c r="F113" s="90" t="inlineStr">
        <is>
          <t>2025-11-01</t>
        </is>
      </c>
      <c r="G113" s="90" t="inlineStr">
        <is>
          <t>2025-11-06</t>
        </is>
      </c>
      <c r="H113" s="90" t="inlineStr">
        <is>
          <t>11/06/2025</t>
        </is>
      </c>
      <c r="I113" s="90" t="inlineStr">
        <is>
          <t>Delivered</t>
        </is>
      </c>
      <c r="J113" s="90" t="n"/>
      <c r="K113" s="90" t="inlineStr">
        <is>
          <t>Y</t>
        </is>
      </c>
      <c r="L113" s="90" t="n">
        <v>95</v>
      </c>
    </row>
    <row r="114" ht="15" customHeight="1" s="52">
      <c r="B114" s="90" t="n">
        <v>100108</v>
      </c>
      <c r="C114" s="90" t="n">
        <v>200108</v>
      </c>
      <c r="D114" s="90" t="inlineStr">
        <is>
          <t>Pacific Northwest</t>
        </is>
      </c>
      <c r="E114" s="90" t="inlineStr">
        <is>
          <t>Northline Logistics</t>
        </is>
      </c>
      <c r="F114" s="90" t="inlineStr">
        <is>
          <t>03-Dec-2025</t>
        </is>
      </c>
      <c r="G114" s="90" t="inlineStr">
        <is>
          <t>2025-12-08</t>
        </is>
      </c>
      <c r="H114" s="90" t="n"/>
      <c r="I114" s="90" t="inlineStr">
        <is>
          <t>Failed - Carrier Delay</t>
        </is>
      </c>
      <c r="J114" s="90" t="inlineStr">
        <is>
          <t>CARRIER_DELAY</t>
        </is>
      </c>
      <c r="K114" s="90" t="n"/>
      <c r="L114" s="90" t="n">
        <v>487</v>
      </c>
    </row>
    <row r="115" ht="15" customHeight="1" s="52">
      <c r="B115" s="90" t="n">
        <v>100109</v>
      </c>
      <c r="C115" s="90" t="n">
        <v>200109</v>
      </c>
      <c r="D115" s="90" t="inlineStr">
        <is>
          <t>West</t>
        </is>
      </c>
      <c r="E115" s="90" t="inlineStr">
        <is>
          <t>Summit Carriers</t>
        </is>
      </c>
      <c r="F115" s="90" t="inlineStr">
        <is>
          <t>02-Nov-2025</t>
        </is>
      </c>
      <c r="G115" s="90" t="inlineStr">
        <is>
          <t>04-Nov-2025</t>
        </is>
      </c>
      <c r="H115" s="90" t="inlineStr">
        <is>
          <t>2025-11-03</t>
        </is>
      </c>
      <c r="I115" s="90" t="inlineStr">
        <is>
          <t>Delivered</t>
        </is>
      </c>
      <c r="J115" s="90" t="n"/>
      <c r="K115" s="90" t="inlineStr">
        <is>
          <t>Y</t>
        </is>
      </c>
      <c r="L115" s="90" t="n">
        <v>176</v>
      </c>
    </row>
    <row r="116" ht="15" customHeight="1" s="52">
      <c r="B116" s="90" t="n">
        <v>100110</v>
      </c>
      <c r="C116" s="90" t="n">
        <v>200110</v>
      </c>
      <c r="D116" s="90" t="inlineStr">
        <is>
          <t>Southeast</t>
        </is>
      </c>
      <c r="E116" s="90" t="inlineStr">
        <is>
          <t>Summit Carriers</t>
        </is>
      </c>
      <c r="F116" s="90" t="inlineStr">
        <is>
          <t>11/14/2025</t>
        </is>
      </c>
      <c r="G116" s="90" t="inlineStr">
        <is>
          <t>2025-11-19</t>
        </is>
      </c>
      <c r="H116" s="90" t="inlineStr">
        <is>
          <t>18-Nov-2025</t>
        </is>
      </c>
      <c r="I116" s="90" t="inlineStr">
        <is>
          <t>Delivered</t>
        </is>
      </c>
      <c r="J116" s="90" t="n"/>
      <c r="K116" s="90" t="inlineStr">
        <is>
          <t>Y</t>
        </is>
      </c>
      <c r="L116" s="90" t="n">
        <v>324</v>
      </c>
    </row>
    <row r="117" ht="15" customHeight="1" s="52">
      <c r="B117" s="90" t="n">
        <v>100111</v>
      </c>
      <c r="C117" s="90" t="n">
        <v>200111</v>
      </c>
      <c r="D117" s="90" t="inlineStr">
        <is>
          <t>Southwest</t>
        </is>
      </c>
      <c r="E117" s="90" t="inlineStr">
        <is>
          <t>Summit Carriers</t>
        </is>
      </c>
      <c r="F117" s="90" t="inlineStr">
        <is>
          <t>01-Dec-2025</t>
        </is>
      </c>
      <c r="G117" s="90" t="inlineStr">
        <is>
          <t>12/03/2025</t>
        </is>
      </c>
      <c r="H117" s="90" t="inlineStr">
        <is>
          <t>12/02/2025</t>
        </is>
      </c>
      <c r="I117" s="90" t="inlineStr">
        <is>
          <t>Delivered</t>
        </is>
      </c>
      <c r="J117" s="90" t="n"/>
      <c r="K117" s="90" t="inlineStr">
        <is>
          <t>Y</t>
        </is>
      </c>
      <c r="L117" s="90" t="n">
        <v>317</v>
      </c>
    </row>
    <row r="118" ht="15" customHeight="1" s="52">
      <c r="B118" s="90" t="n">
        <v>100112</v>
      </c>
      <c r="C118" s="90" t="n">
        <v>200112</v>
      </c>
      <c r="D118" s="90" t="inlineStr">
        <is>
          <t>Northeast</t>
        </is>
      </c>
      <c r="E118" s="90" t="inlineStr">
        <is>
          <t>Summit Carriers</t>
        </is>
      </c>
      <c r="F118" s="90" t="inlineStr">
        <is>
          <t>11/05/2025</t>
        </is>
      </c>
      <c r="G118" s="90" t="inlineStr">
        <is>
          <t>07-Nov-2025</t>
        </is>
      </c>
      <c r="H118" s="90" t="inlineStr">
        <is>
          <t>11/07/2025</t>
        </is>
      </c>
      <c r="I118" s="90" t="inlineStr">
        <is>
          <t>Delivered</t>
        </is>
      </c>
      <c r="J118" s="90" t="n"/>
      <c r="K118" s="90" t="inlineStr">
        <is>
          <t>Y</t>
        </is>
      </c>
      <c r="L118" s="90" t="n">
        <v>523</v>
      </c>
    </row>
    <row r="119" ht="15" customHeight="1" s="52">
      <c r="B119" s="90" t="n">
        <v>100113</v>
      </c>
      <c r="C119" s="90" t="n">
        <v>200113</v>
      </c>
      <c r="D119" s="90" t="inlineStr">
        <is>
          <t>West</t>
        </is>
      </c>
      <c r="E119" s="90" t="inlineStr">
        <is>
          <t>Northline Logistics</t>
        </is>
      </c>
      <c r="F119" s="90" t="inlineStr">
        <is>
          <t>2025-12-17</t>
        </is>
      </c>
      <c r="G119" s="90" t="inlineStr">
        <is>
          <t>20-Dec-2025</t>
        </is>
      </c>
      <c r="H119" s="90" t="inlineStr">
        <is>
          <t>19-Dec-2025</t>
        </is>
      </c>
      <c r="I119" s="90" t="inlineStr">
        <is>
          <t>Delivered</t>
        </is>
      </c>
      <c r="J119" s="90" t="n"/>
      <c r="K119" s="90" t="inlineStr">
        <is>
          <t>Y</t>
        </is>
      </c>
      <c r="L119" s="90" t="n">
        <v>155</v>
      </c>
    </row>
    <row r="120" ht="15" customHeight="1" s="52">
      <c r="B120" s="90" t="n">
        <v>100114</v>
      </c>
      <c r="C120" s="90" t="n">
        <v>200114</v>
      </c>
      <c r="D120" s="90" t="inlineStr">
        <is>
          <t>Southeast</t>
        </is>
      </c>
      <c r="E120" s="90" t="inlineStr">
        <is>
          <t xml:space="preserve">  Apex Freight  </t>
        </is>
      </c>
      <c r="F120" s="90" t="inlineStr">
        <is>
          <t>11/09/2025</t>
        </is>
      </c>
      <c r="G120" s="90" t="inlineStr">
        <is>
          <t>11/13/2025</t>
        </is>
      </c>
      <c r="H120" s="90" t="n"/>
      <c r="I120" s="90" t="inlineStr">
        <is>
          <t>Failed - Wrong Address</t>
        </is>
      </c>
      <c r="J120" s="90" t="inlineStr">
        <is>
          <t>ADDR_ERR</t>
        </is>
      </c>
      <c r="K120" s="90" t="n"/>
      <c r="L120" s="90" t="n">
        <v>388</v>
      </c>
    </row>
    <row r="121" ht="15" customHeight="1" s="52">
      <c r="B121" s="90" t="n">
        <v>100115</v>
      </c>
      <c r="C121" s="90" t="n">
        <v>200115</v>
      </c>
      <c r="D121" s="90" t="inlineStr">
        <is>
          <t>Midwest</t>
        </is>
      </c>
      <c r="E121" s="90" t="inlineStr">
        <is>
          <t>Apex Freight</t>
        </is>
      </c>
      <c r="F121" s="90" t="inlineStr">
        <is>
          <t>2025-11-07</t>
        </is>
      </c>
      <c r="G121" s="90" t="inlineStr">
        <is>
          <t>11/10/2025</t>
        </is>
      </c>
      <c r="H121" s="90" t="inlineStr">
        <is>
          <t>2025-11-10</t>
        </is>
      </c>
      <c r="I121" s="90" t="inlineStr">
        <is>
          <t>Delivered</t>
        </is>
      </c>
      <c r="J121" s="90" t="n"/>
      <c r="K121" s="90" t="inlineStr">
        <is>
          <t>Y</t>
        </is>
      </c>
      <c r="L121" s="90" t="n">
        <v>389</v>
      </c>
    </row>
    <row r="122" ht="15" customHeight="1" s="52">
      <c r="B122" s="90" t="n">
        <v>100116</v>
      </c>
      <c r="C122" s="90" t="n">
        <v>200116</v>
      </c>
      <c r="D122" s="90" t="inlineStr">
        <is>
          <t>West</t>
        </is>
      </c>
      <c r="E122" s="90" t="inlineStr">
        <is>
          <t>Northline Logistics</t>
        </is>
      </c>
      <c r="F122" s="90" t="inlineStr">
        <is>
          <t>2025-11-02</t>
        </is>
      </c>
      <c r="G122" s="90" t="inlineStr">
        <is>
          <t>11/06/2025</t>
        </is>
      </c>
      <c r="H122" s="90" t="inlineStr">
        <is>
          <t>2025-11-05</t>
        </is>
      </c>
      <c r="I122" s="90" t="inlineStr">
        <is>
          <t>Delivered</t>
        </is>
      </c>
      <c r="J122" s="90" t="n"/>
      <c r="K122" s="90" t="inlineStr">
        <is>
          <t>Y</t>
        </is>
      </c>
      <c r="L122" s="90" t="n">
        <v>494</v>
      </c>
    </row>
    <row r="123" ht="15" customHeight="1" s="52">
      <c r="B123" s="90" t="n">
        <v>100117</v>
      </c>
      <c r="C123" s="90" t="n">
        <v>200117</v>
      </c>
      <c r="D123" s="90" t="inlineStr">
        <is>
          <t>Southeast</t>
        </is>
      </c>
      <c r="E123" s="90" t="inlineStr">
        <is>
          <t>Northline Logistics</t>
        </is>
      </c>
      <c r="F123" s="90" t="inlineStr">
        <is>
          <t>29-Oct-2025</t>
        </is>
      </c>
      <c r="G123" s="90" t="inlineStr">
        <is>
          <t>11/02/2025</t>
        </is>
      </c>
      <c r="H123" s="90" t="inlineStr">
        <is>
          <t>2025-11-01</t>
        </is>
      </c>
      <c r="I123" s="90" t="inlineStr">
        <is>
          <t>Delivered</t>
        </is>
      </c>
      <c r="J123" s="90" t="n"/>
      <c r="K123" s="90" t="inlineStr">
        <is>
          <t>Y</t>
        </is>
      </c>
      <c r="L123" s="90" t="n">
        <v>419</v>
      </c>
    </row>
    <row r="124" ht="15" customHeight="1" s="52">
      <c r="B124" s="90" t="n">
        <v>100118</v>
      </c>
      <c r="C124" s="90" t="n">
        <v>200118</v>
      </c>
      <c r="D124" s="90" t="inlineStr">
        <is>
          <t>Northeast</t>
        </is>
      </c>
      <c r="E124" s="90" t="inlineStr">
        <is>
          <t>Coastal Express</t>
        </is>
      </c>
      <c r="F124" s="90" t="inlineStr">
        <is>
          <t>2025-12-08</t>
        </is>
      </c>
      <c r="G124" s="90" t="inlineStr">
        <is>
          <t>2025-12-10</t>
        </is>
      </c>
      <c r="H124" s="90" t="inlineStr">
        <is>
          <t>09-Dec-2025</t>
        </is>
      </c>
      <c r="I124" s="90" t="inlineStr">
        <is>
          <t>Delivered</t>
        </is>
      </c>
      <c r="J124" s="90" t="n"/>
      <c r="K124" s="90" t="inlineStr">
        <is>
          <t>Y</t>
        </is>
      </c>
      <c r="L124" s="90" t="n">
        <v>395</v>
      </c>
    </row>
    <row r="125" ht="15" customHeight="1" s="52">
      <c r="B125" s="90" t="n">
        <v>100119</v>
      </c>
      <c r="C125" s="90" t="n">
        <v>200119</v>
      </c>
      <c r="D125" s="90" t="inlineStr">
        <is>
          <t>Southeast</t>
        </is>
      </c>
      <c r="E125" s="90" t="inlineStr">
        <is>
          <t>northline logistics</t>
        </is>
      </c>
      <c r="F125" s="90" t="inlineStr">
        <is>
          <t>30-Nov-2025</t>
        </is>
      </c>
      <c r="G125" s="90" t="inlineStr">
        <is>
          <t>02-Dec-2025</t>
        </is>
      </c>
      <c r="H125" s="90" t="inlineStr">
        <is>
          <t>2025-12-01</t>
        </is>
      </c>
      <c r="I125" s="90" t="inlineStr">
        <is>
          <t>DELIVERED</t>
        </is>
      </c>
      <c r="J125" s="90" t="n"/>
      <c r="K125" s="90" t="inlineStr">
        <is>
          <t>Y</t>
        </is>
      </c>
      <c r="L125" s="90" t="n">
        <v>241</v>
      </c>
    </row>
    <row r="126" ht="15" customHeight="1" s="52">
      <c r="B126" s="90" t="n">
        <v>100120</v>
      </c>
      <c r="C126" s="90" t="n">
        <v>200120</v>
      </c>
      <c r="D126" s="90" t="inlineStr">
        <is>
          <t>Southeast</t>
        </is>
      </c>
      <c r="E126" s="90" t="inlineStr">
        <is>
          <t>Summit Carriers</t>
        </is>
      </c>
      <c r="F126" s="90" t="inlineStr">
        <is>
          <t>29-Dec-2025</t>
        </is>
      </c>
      <c r="G126" s="90" t="inlineStr">
        <is>
          <t>01-Jan-2026</t>
        </is>
      </c>
      <c r="H126" s="90" t="inlineStr">
        <is>
          <t>01/01/2026</t>
        </is>
      </c>
      <c r="I126" s="90" t="inlineStr">
        <is>
          <t>Delivered</t>
        </is>
      </c>
      <c r="J126" s="90" t="n"/>
      <c r="K126" s="90" t="inlineStr">
        <is>
          <t>Y</t>
        </is>
      </c>
      <c r="L126" s="90" t="n">
        <v>326</v>
      </c>
    </row>
    <row r="127" ht="15" customHeight="1" s="52">
      <c r="B127" s="90" t="n">
        <v>100121</v>
      </c>
      <c r="C127" s="90" t="n">
        <v>200121</v>
      </c>
      <c r="D127" s="90" t="inlineStr">
        <is>
          <t>mountain</t>
        </is>
      </c>
      <c r="E127" s="90" t="inlineStr">
        <is>
          <t>Apex Freight</t>
        </is>
      </c>
      <c r="F127" s="90" t="inlineStr">
        <is>
          <t>13-Oct-2025</t>
        </is>
      </c>
      <c r="G127" s="90" t="inlineStr">
        <is>
          <t>2025-10-16</t>
        </is>
      </c>
      <c r="H127" s="90" t="inlineStr">
        <is>
          <t>10/15/2025</t>
        </is>
      </c>
      <c r="I127" s="90" t="inlineStr">
        <is>
          <t>Delivered</t>
        </is>
      </c>
      <c r="J127" s="90" t="n"/>
      <c r="K127" s="90" t="inlineStr">
        <is>
          <t>Y</t>
        </is>
      </c>
      <c r="L127" s="90" t="n">
        <v>568</v>
      </c>
    </row>
    <row r="128" ht="15" customHeight="1" s="52">
      <c r="B128" s="90" t="n">
        <v>100122</v>
      </c>
      <c r="C128" s="90" t="n">
        <v>200122</v>
      </c>
      <c r="D128" s="90" t="inlineStr">
        <is>
          <t>pacific northwest</t>
        </is>
      </c>
      <c r="E128" s="90" t="inlineStr">
        <is>
          <t>NORTHLINE LOGISTICS</t>
        </is>
      </c>
      <c r="F128" s="90" t="inlineStr">
        <is>
          <t>2025-11-23</t>
        </is>
      </c>
      <c r="G128" s="90" t="inlineStr">
        <is>
          <t>25-Nov-2025</t>
        </is>
      </c>
      <c r="H128" s="90" t="inlineStr">
        <is>
          <t>2025-11-24</t>
        </is>
      </c>
      <c r="I128" s="90" t="inlineStr">
        <is>
          <t>Delivered</t>
        </is>
      </c>
      <c r="J128" s="90" t="n"/>
      <c r="K128" s="90" t="inlineStr">
        <is>
          <t>N</t>
        </is>
      </c>
      <c r="L128" s="90" t="n">
        <v>394</v>
      </c>
    </row>
    <row r="129" ht="15" customHeight="1" s="52">
      <c r="B129" s="90" t="n">
        <v>100123</v>
      </c>
      <c r="C129" s="90" t="n">
        <v>200123</v>
      </c>
      <c r="D129" s="90" t="inlineStr">
        <is>
          <t>Southwest</t>
        </is>
      </c>
      <c r="E129" s="90" t="inlineStr">
        <is>
          <t>Summit Carriers</t>
        </is>
      </c>
      <c r="F129" s="90" t="inlineStr">
        <is>
          <t>26-Nov-2025</t>
        </is>
      </c>
      <c r="G129" s="90" t="inlineStr">
        <is>
          <t>2025-11-29</t>
        </is>
      </c>
      <c r="H129" s="90" t="inlineStr">
        <is>
          <t>11/28/2025</t>
        </is>
      </c>
      <c r="I129" s="90" t="inlineStr">
        <is>
          <t>Delivered</t>
        </is>
      </c>
      <c r="J129" s="90" t="n"/>
      <c r="K129" s="90" t="inlineStr">
        <is>
          <t>Y</t>
        </is>
      </c>
      <c r="L129" s="90" t="n">
        <v>382</v>
      </c>
    </row>
    <row r="130" ht="15" customHeight="1" s="52">
      <c r="B130" s="90" t="n">
        <v>100124</v>
      </c>
      <c r="C130" s="90" t="n">
        <v>200124</v>
      </c>
      <c r="D130" s="90" t="inlineStr">
        <is>
          <t xml:space="preserve">  Northeast  </t>
        </is>
      </c>
      <c r="E130" s="90" t="inlineStr">
        <is>
          <t>Summit Carriers</t>
        </is>
      </c>
      <c r="F130" s="90" t="inlineStr">
        <is>
          <t>2025-11-05</t>
        </is>
      </c>
      <c r="G130" s="90" t="inlineStr">
        <is>
          <t>2025-11-08</t>
        </is>
      </c>
      <c r="H130" s="90" t="inlineStr">
        <is>
          <t>11/07/2025</t>
        </is>
      </c>
      <c r="I130" s="90" t="inlineStr">
        <is>
          <t>Delivered</t>
        </is>
      </c>
      <c r="J130" s="90" t="n"/>
      <c r="K130" s="90" t="inlineStr">
        <is>
          <t>Y</t>
        </is>
      </c>
      <c r="L130" s="90" t="n">
        <v>232</v>
      </c>
    </row>
    <row r="131" ht="15" customHeight="1" s="52">
      <c r="B131" s="90" t="n">
        <v>100125</v>
      </c>
      <c r="C131" s="90" t="n">
        <v>200125</v>
      </c>
      <c r="D131" s="90" t="inlineStr">
        <is>
          <t>Northeast</t>
        </is>
      </c>
      <c r="E131" s="90" t="inlineStr">
        <is>
          <t>Apex Freight</t>
        </is>
      </c>
      <c r="F131" s="90" t="inlineStr">
        <is>
          <t>12-Nov-2025</t>
        </is>
      </c>
      <c r="G131" s="90" t="inlineStr">
        <is>
          <t>2025-11-15</t>
        </is>
      </c>
      <c r="H131" s="90" t="inlineStr">
        <is>
          <t>15-Nov-2025</t>
        </is>
      </c>
      <c r="I131" s="90" t="inlineStr">
        <is>
          <t>Delivered</t>
        </is>
      </c>
      <c r="J131" s="90" t="n"/>
      <c r="K131" s="90" t="inlineStr">
        <is>
          <t>Y</t>
        </is>
      </c>
      <c r="L131" s="90" t="n">
        <v>582</v>
      </c>
    </row>
    <row r="132" ht="15" customHeight="1" s="52">
      <c r="B132" s="90" t="n">
        <v>100126</v>
      </c>
      <c r="C132" s="90" t="n">
        <v>200126</v>
      </c>
      <c r="D132" s="90" t="inlineStr">
        <is>
          <t>Southwest</t>
        </is>
      </c>
      <c r="E132" s="90" t="inlineStr">
        <is>
          <t>Northline Logistics</t>
        </is>
      </c>
      <c r="F132" s="90" t="inlineStr">
        <is>
          <t>2025-10-30</t>
        </is>
      </c>
      <c r="G132" s="90" t="inlineStr">
        <is>
          <t>02-Nov-2025</t>
        </is>
      </c>
      <c r="H132" s="90" t="inlineStr">
        <is>
          <t>02-Nov-2025</t>
        </is>
      </c>
      <c r="I132" s="90" t="inlineStr">
        <is>
          <t>Delivered</t>
        </is>
      </c>
      <c r="J132" s="90" t="n"/>
      <c r="K132" s="90" t="inlineStr">
        <is>
          <t>Y</t>
        </is>
      </c>
      <c r="L132" s="90" t="n">
        <v>163</v>
      </c>
    </row>
    <row r="133" ht="15" customHeight="1" s="52">
      <c r="B133" s="90" t="n">
        <v>100127</v>
      </c>
      <c r="C133" s="90" t="n">
        <v>200127</v>
      </c>
      <c r="D133" s="90" t="inlineStr">
        <is>
          <t>Midwest</t>
        </is>
      </c>
      <c r="E133" s="90" t="inlineStr">
        <is>
          <t>Coastal Express</t>
        </is>
      </c>
      <c r="F133" s="90" t="inlineStr">
        <is>
          <t>23-Oct-2025</t>
        </is>
      </c>
      <c r="G133" s="90" t="inlineStr">
        <is>
          <t>25-Oct-2025</t>
        </is>
      </c>
      <c r="H133" s="90" t="inlineStr">
        <is>
          <t>26-Oct-2025</t>
        </is>
      </c>
      <c r="I133" s="90" t="inlineStr">
        <is>
          <t>Delivered - Late</t>
        </is>
      </c>
      <c r="J133" s="90" t="n"/>
      <c r="K133" s="90" t="inlineStr">
        <is>
          <t>Y</t>
        </is>
      </c>
      <c r="L133" s="90" t="n">
        <v>258</v>
      </c>
    </row>
    <row r="134" ht="15" customHeight="1" s="52">
      <c r="B134" s="90" t="n">
        <v>100128</v>
      </c>
      <c r="C134" s="90" t="n">
        <v>200128</v>
      </c>
      <c r="D134" s="90" t="inlineStr">
        <is>
          <t>Mid-Atlantic</t>
        </is>
      </c>
      <c r="E134" s="90" t="inlineStr">
        <is>
          <t>Apex Freight</t>
        </is>
      </c>
      <c r="F134" s="90" t="inlineStr">
        <is>
          <t>10/23/2025</t>
        </is>
      </c>
      <c r="G134" s="90" t="inlineStr">
        <is>
          <t>10/26/2025</t>
        </is>
      </c>
      <c r="H134" s="90" t="n"/>
      <c r="I134" s="90" t="inlineStr">
        <is>
          <t>Failed - Carrier Delay</t>
        </is>
      </c>
      <c r="J134" s="90" t="inlineStr">
        <is>
          <t>CARRIER_DELAY</t>
        </is>
      </c>
      <c r="K134" s="90" t="n"/>
      <c r="L134" s="90" t="n">
        <v>446</v>
      </c>
    </row>
    <row r="135" ht="15" customHeight="1" s="52">
      <c r="B135" s="90" t="n">
        <v>100129</v>
      </c>
      <c r="C135" s="90" t="n">
        <v>200129</v>
      </c>
      <c r="D135" s="90" t="inlineStr">
        <is>
          <t>Southeast</t>
        </is>
      </c>
      <c r="E135" s="90" t="inlineStr">
        <is>
          <t>Apex Freight</t>
        </is>
      </c>
      <c r="F135" s="90" t="inlineStr">
        <is>
          <t>11/30/2025</t>
        </is>
      </c>
      <c r="G135" s="90" t="inlineStr">
        <is>
          <t>2025-12-04</t>
        </is>
      </c>
      <c r="H135" s="90" t="inlineStr">
        <is>
          <t>04-Dec-2025</t>
        </is>
      </c>
      <c r="I135" s="90" t="inlineStr">
        <is>
          <t>Delivered</t>
        </is>
      </c>
      <c r="J135" s="90" t="n"/>
      <c r="K135" s="90" t="inlineStr">
        <is>
          <t>Y</t>
        </is>
      </c>
      <c r="L135" s="90" t="n">
        <v>241</v>
      </c>
    </row>
    <row r="136" ht="15" customHeight="1" s="52">
      <c r="B136" s="90" t="n">
        <v>100130</v>
      </c>
      <c r="C136" s="90" t="n">
        <v>200130</v>
      </c>
      <c r="D136" s="90" t="inlineStr">
        <is>
          <t>Northeast</t>
        </is>
      </c>
      <c r="E136" s="90" t="inlineStr">
        <is>
          <t>Coastal Express</t>
        </is>
      </c>
      <c r="F136" s="90" t="inlineStr">
        <is>
          <t>28-Nov-2025</t>
        </is>
      </c>
      <c r="G136" s="90" t="inlineStr">
        <is>
          <t>11/30/2025</t>
        </is>
      </c>
      <c r="H136" s="90" t="n"/>
      <c r="I136" s="90" t="inlineStr">
        <is>
          <t>Failed - Wrong Address</t>
        </is>
      </c>
      <c r="J136" s="90" t="inlineStr">
        <is>
          <t>ADDR_ERR</t>
        </is>
      </c>
      <c r="K136" s="90" t="n"/>
      <c r="L136" s="90" t="n">
        <v>505</v>
      </c>
    </row>
    <row r="137" ht="15" customHeight="1" s="52">
      <c r="B137" s="90" t="n">
        <v>100131</v>
      </c>
      <c r="C137" s="90" t="n">
        <v>200131</v>
      </c>
      <c r="D137" s="90" t="inlineStr">
        <is>
          <t>Pacific Northwest</t>
        </is>
      </c>
      <c r="E137" s="90" t="inlineStr">
        <is>
          <t>Summit Carriers</t>
        </is>
      </c>
      <c r="F137" s="90" t="inlineStr">
        <is>
          <t>27-Dec-2025</t>
        </is>
      </c>
      <c r="G137" s="90" t="inlineStr">
        <is>
          <t>2025-12-29</t>
        </is>
      </c>
      <c r="H137" s="90" t="inlineStr">
        <is>
          <t>12/29/2025</t>
        </is>
      </c>
      <c r="I137" s="90" t="inlineStr">
        <is>
          <t>Delivered</t>
        </is>
      </c>
      <c r="J137" s="90" t="n"/>
      <c r="K137" s="90" t="inlineStr">
        <is>
          <t>Y</t>
        </is>
      </c>
      <c r="L137" s="90" t="n">
        <v>344</v>
      </c>
    </row>
    <row r="138" ht="15" customHeight="1" s="52">
      <c r="B138" s="90" t="n">
        <v>100132</v>
      </c>
      <c r="C138" s="90" t="n">
        <v>200132</v>
      </c>
      <c r="D138" s="90" t="inlineStr">
        <is>
          <t>Midwest</t>
        </is>
      </c>
      <c r="E138" s="90" t="inlineStr">
        <is>
          <t>Apex Freight</t>
        </is>
      </c>
      <c r="F138" s="90" t="inlineStr">
        <is>
          <t>2025-10-17</t>
        </is>
      </c>
      <c r="G138" s="90" t="inlineStr">
        <is>
          <t>2025-10-20</t>
        </is>
      </c>
      <c r="H138" s="90" t="inlineStr">
        <is>
          <t>10/19/2025</t>
        </is>
      </c>
      <c r="I138" s="90" t="inlineStr">
        <is>
          <t>Delivered</t>
        </is>
      </c>
      <c r="J138" s="90" t="n"/>
      <c r="K138" s="90" t="inlineStr">
        <is>
          <t>Y</t>
        </is>
      </c>
      <c r="L138" s="90" t="n">
        <v>558</v>
      </c>
    </row>
    <row r="139" ht="15" customHeight="1" s="52">
      <c r="B139" s="90" t="n">
        <v>100133</v>
      </c>
      <c r="C139" s="90" t="n">
        <v>200133</v>
      </c>
      <c r="D139" s="90" t="inlineStr">
        <is>
          <t>west</t>
        </is>
      </c>
      <c r="E139" s="90" t="inlineStr">
        <is>
          <t>SUMMIT CARRIERS</t>
        </is>
      </c>
      <c r="F139" s="90" t="inlineStr">
        <is>
          <t>12/04/2025</t>
        </is>
      </c>
      <c r="G139" s="90" t="inlineStr">
        <is>
          <t>09-Dec-2025</t>
        </is>
      </c>
      <c r="H139" s="90" t="inlineStr">
        <is>
          <t>2025-12-09</t>
        </is>
      </c>
      <c r="I139" s="90" t="inlineStr">
        <is>
          <t>Delivered</t>
        </is>
      </c>
      <c r="J139" s="90" t="n"/>
      <c r="K139" s="90" t="inlineStr">
        <is>
          <t>Y</t>
        </is>
      </c>
      <c r="L139" s="90" t="n">
        <v>579</v>
      </c>
    </row>
    <row r="140" ht="15" customHeight="1" s="52">
      <c r="B140" s="90" t="n">
        <v>100134</v>
      </c>
      <c r="C140" s="90" t="n">
        <v>200134</v>
      </c>
      <c r="D140" s="90" t="inlineStr">
        <is>
          <t>Southwest</t>
        </is>
      </c>
      <c r="E140" s="90" t="inlineStr">
        <is>
          <t>summit carriers</t>
        </is>
      </c>
      <c r="F140" s="90" t="inlineStr">
        <is>
          <t>2025-11-27</t>
        </is>
      </c>
      <c r="G140" s="90" t="inlineStr">
        <is>
          <t>30-Nov-2025</t>
        </is>
      </c>
      <c r="H140" s="90" t="inlineStr">
        <is>
          <t>2025-11-29</t>
        </is>
      </c>
      <c r="I140" s="90" t="inlineStr">
        <is>
          <t>Delivered</t>
        </is>
      </c>
      <c r="J140" s="90" t="n"/>
      <c r="K140" s="90" t="inlineStr">
        <is>
          <t>Y</t>
        </is>
      </c>
      <c r="L140" s="90" t="n">
        <v>112</v>
      </c>
    </row>
    <row r="141" ht="15" customHeight="1" s="52">
      <c r="B141" s="90" t="n">
        <v>100135</v>
      </c>
      <c r="C141" s="90" t="n">
        <v>200135</v>
      </c>
      <c r="D141" s="90" t="inlineStr">
        <is>
          <t>MID-ATLANTIC</t>
        </is>
      </c>
      <c r="E141" s="90" t="inlineStr">
        <is>
          <t>Summit Carriers</t>
        </is>
      </c>
      <c r="F141" s="90" t="inlineStr">
        <is>
          <t>10-Nov-2025</t>
        </is>
      </c>
      <c r="G141" s="90" t="inlineStr">
        <is>
          <t>11/13/2025</t>
        </is>
      </c>
      <c r="H141" s="90" t="inlineStr">
        <is>
          <t>2025-11-12</t>
        </is>
      </c>
      <c r="I141" s="90" t="inlineStr">
        <is>
          <t>Delivered</t>
        </is>
      </c>
      <c r="J141" s="90" t="n"/>
      <c r="K141" s="90" t="inlineStr">
        <is>
          <t>Y</t>
        </is>
      </c>
      <c r="L141" s="90" t="n">
        <v>102</v>
      </c>
    </row>
    <row r="142" ht="15" customHeight="1" s="52">
      <c r="B142" s="90" t="n">
        <v>100136</v>
      </c>
      <c r="C142" s="90" t="n">
        <v>200136</v>
      </c>
      <c r="D142" s="90" t="inlineStr">
        <is>
          <t>Southeast</t>
        </is>
      </c>
      <c r="E142" s="90" t="inlineStr">
        <is>
          <t>Summit Carriers</t>
        </is>
      </c>
      <c r="F142" s="90" t="inlineStr">
        <is>
          <t>10/13/2025</t>
        </is>
      </c>
      <c r="G142" s="90" t="inlineStr">
        <is>
          <t>10/16/2025</t>
        </is>
      </c>
      <c r="H142" s="90" t="inlineStr">
        <is>
          <t>15-Oct-2025</t>
        </is>
      </c>
      <c r="I142" s="90" t="inlineStr">
        <is>
          <t xml:space="preserve">  Delivered  </t>
        </is>
      </c>
      <c r="J142" s="90" t="n"/>
      <c r="K142" s="90" t="inlineStr">
        <is>
          <t>Y</t>
        </is>
      </c>
      <c r="L142" s="90" t="n">
        <v>435</v>
      </c>
    </row>
    <row r="143" ht="15" customHeight="1" s="52">
      <c r="B143" s="90" t="n">
        <v>100137</v>
      </c>
      <c r="C143" s="90" t="n">
        <v>200137</v>
      </c>
      <c r="D143" s="90" t="inlineStr">
        <is>
          <t xml:space="preserve">  Mid-Atlantic  </t>
        </is>
      </c>
      <c r="E143" s="90" t="inlineStr">
        <is>
          <t>Summit Carriers</t>
        </is>
      </c>
      <c r="F143" s="90" t="inlineStr">
        <is>
          <t>07-Oct-2025</t>
        </is>
      </c>
      <c r="G143" s="90" t="inlineStr">
        <is>
          <t>10-Oct-2025</t>
        </is>
      </c>
      <c r="H143" s="90" t="inlineStr">
        <is>
          <t>10-Oct-2025</t>
        </is>
      </c>
      <c r="I143" s="90" t="inlineStr">
        <is>
          <t>Delivered</t>
        </is>
      </c>
      <c r="J143" s="90" t="n"/>
      <c r="K143" s="90" t="inlineStr">
        <is>
          <t>Y</t>
        </is>
      </c>
      <c r="L143" s="90" t="n">
        <v>508</v>
      </c>
    </row>
    <row r="144" ht="15" customHeight="1" s="52">
      <c r="B144" s="90" t="n">
        <v>100138</v>
      </c>
      <c r="C144" s="90" t="n">
        <v>200138</v>
      </c>
      <c r="D144" s="90" t="inlineStr">
        <is>
          <t>Southwest</t>
        </is>
      </c>
      <c r="E144" s="90" t="inlineStr">
        <is>
          <t>Apex Freight</t>
        </is>
      </c>
      <c r="F144" s="90" t="inlineStr">
        <is>
          <t>2025-11-14</t>
        </is>
      </c>
      <c r="G144" s="90" t="inlineStr">
        <is>
          <t>2025-11-19</t>
        </is>
      </c>
      <c r="H144" s="90" t="inlineStr">
        <is>
          <t>19-Nov-2025</t>
        </is>
      </c>
      <c r="I144" s="90" t="inlineStr">
        <is>
          <t>DELIVERED</t>
        </is>
      </c>
      <c r="J144" s="90" t="n"/>
      <c r="K144" s="90" t="inlineStr">
        <is>
          <t>Y</t>
        </is>
      </c>
      <c r="L144" s="90" t="n">
        <v>589</v>
      </c>
    </row>
    <row r="145" ht="15" customHeight="1" s="52">
      <c r="B145" s="90" t="n">
        <v>100139</v>
      </c>
      <c r="C145" s="90" t="n">
        <v>200139</v>
      </c>
      <c r="D145" s="90" t="inlineStr">
        <is>
          <t>Northeast</t>
        </is>
      </c>
      <c r="E145" s="90" t="inlineStr">
        <is>
          <t>Coastal Express</t>
        </is>
      </c>
      <c r="F145" s="90" t="inlineStr">
        <is>
          <t>04-Oct-2025</t>
        </is>
      </c>
      <c r="G145" s="90" t="inlineStr">
        <is>
          <t>07-Oct-2025</t>
        </is>
      </c>
      <c r="H145" s="90" t="inlineStr">
        <is>
          <t>10/06/2025</t>
        </is>
      </c>
      <c r="I145" s="90" t="inlineStr">
        <is>
          <t xml:space="preserve">  Delivered  </t>
        </is>
      </c>
      <c r="J145" s="90" t="n"/>
      <c r="K145" s="90" t="inlineStr">
        <is>
          <t>Y</t>
        </is>
      </c>
      <c r="L145" s="90" t="n">
        <v>200</v>
      </c>
    </row>
    <row r="146" ht="15" customHeight="1" s="52">
      <c r="B146" s="90" t="n">
        <v>100140</v>
      </c>
      <c r="C146" s="90" t="n">
        <v>200140</v>
      </c>
      <c r="D146" s="90" t="inlineStr">
        <is>
          <t>Midwest</t>
        </is>
      </c>
      <c r="E146" s="90" t="inlineStr">
        <is>
          <t>summit carriers</t>
        </is>
      </c>
      <c r="F146" s="90" t="inlineStr">
        <is>
          <t>2025-10-09</t>
        </is>
      </c>
      <c r="G146" s="90" t="inlineStr">
        <is>
          <t>10/12/2025</t>
        </is>
      </c>
      <c r="H146" s="90" t="inlineStr">
        <is>
          <t>10/12/2025</t>
        </is>
      </c>
      <c r="I146" s="90" t="inlineStr">
        <is>
          <t>Delivered</t>
        </is>
      </c>
      <c r="J146" s="90" t="n"/>
      <c r="K146" s="90" t="inlineStr">
        <is>
          <t>Y</t>
        </is>
      </c>
      <c r="L146" s="90" t="n">
        <v>235</v>
      </c>
    </row>
    <row r="147" ht="15" customHeight="1" s="52">
      <c r="B147" s="90" t="n">
        <v>100141</v>
      </c>
      <c r="C147" s="90" t="n">
        <v>200141</v>
      </c>
      <c r="D147" s="90" t="inlineStr">
        <is>
          <t>PACIFIC NORTHWEST</t>
        </is>
      </c>
      <c r="E147" s="90" t="inlineStr">
        <is>
          <t>Summit Carriers</t>
        </is>
      </c>
      <c r="F147" s="90" t="inlineStr">
        <is>
          <t>11/28/2025</t>
        </is>
      </c>
      <c r="G147" s="90" t="inlineStr">
        <is>
          <t>2025-12-01</t>
        </is>
      </c>
      <c r="H147" s="90" t="inlineStr">
        <is>
          <t>30-Nov-2025</t>
        </is>
      </c>
      <c r="I147" s="90" t="inlineStr">
        <is>
          <t>Delivered</t>
        </is>
      </c>
      <c r="J147" s="90" t="n"/>
      <c r="K147" s="90" t="inlineStr">
        <is>
          <t>Y</t>
        </is>
      </c>
      <c r="L147" s="90" t="n">
        <v>596</v>
      </c>
    </row>
    <row r="148" ht="15" customHeight="1" s="52">
      <c r="B148" s="90" t="n">
        <v>100142</v>
      </c>
      <c r="C148" s="90" t="n">
        <v>200142</v>
      </c>
      <c r="D148" s="90" t="inlineStr">
        <is>
          <t>Southeast</t>
        </is>
      </c>
      <c r="E148" s="90" t="inlineStr">
        <is>
          <t>Apex Freight</t>
        </is>
      </c>
      <c r="F148" s="90" t="inlineStr">
        <is>
          <t>10/20/2025</t>
        </is>
      </c>
      <c r="G148" s="90" t="inlineStr">
        <is>
          <t>10/23/2025</t>
        </is>
      </c>
      <c r="H148" s="90" t="inlineStr">
        <is>
          <t>24-Oct-2025</t>
        </is>
      </c>
      <c r="I148" s="90" t="inlineStr">
        <is>
          <t>Delivered - Late</t>
        </is>
      </c>
      <c r="J148" s="90" t="n"/>
      <c r="K148" s="90" t="inlineStr">
        <is>
          <t>Y</t>
        </is>
      </c>
      <c r="L148" s="90" t="n">
        <v>449</v>
      </c>
    </row>
    <row r="149" ht="15" customHeight="1" s="52">
      <c r="B149" s="90" t="n">
        <v>100143</v>
      </c>
      <c r="C149" s="90" t="n">
        <v>200143</v>
      </c>
      <c r="D149" s="90" t="inlineStr">
        <is>
          <t>Mountain</t>
        </is>
      </c>
      <c r="E149" s="90" t="inlineStr">
        <is>
          <t>Summit Carriers</t>
        </is>
      </c>
      <c r="F149" s="90" t="inlineStr">
        <is>
          <t>2025-11-23</t>
        </is>
      </c>
      <c r="G149" s="90" t="inlineStr">
        <is>
          <t>26-Nov-2025</t>
        </is>
      </c>
      <c r="H149" s="90" t="inlineStr">
        <is>
          <t>2025-11-25</t>
        </is>
      </c>
      <c r="I149" s="90" t="inlineStr">
        <is>
          <t>Delivered</t>
        </is>
      </c>
      <c r="J149" s="90" t="n"/>
      <c r="K149" s="90" t="inlineStr">
        <is>
          <t>Y</t>
        </is>
      </c>
      <c r="L149" s="90" t="n">
        <v>305</v>
      </c>
    </row>
    <row r="150" ht="15" customHeight="1" s="52">
      <c r="B150" s="90" t="n">
        <v>100144</v>
      </c>
      <c r="C150" s="90" t="n">
        <v>200144</v>
      </c>
      <c r="D150" s="90" t="inlineStr">
        <is>
          <t>Mountain</t>
        </is>
      </c>
      <c r="E150" s="90" t="inlineStr">
        <is>
          <t>Coastal Express</t>
        </is>
      </c>
      <c r="F150" s="90" t="inlineStr">
        <is>
          <t>10/06/2025</t>
        </is>
      </c>
      <c r="G150" s="90" t="inlineStr">
        <is>
          <t>10/09/2025</t>
        </is>
      </c>
      <c r="H150" s="90" t="inlineStr">
        <is>
          <t>10/09/2025</t>
        </is>
      </c>
      <c r="I150" s="90" t="inlineStr">
        <is>
          <t>Delivered</t>
        </is>
      </c>
      <c r="J150" s="90" t="n"/>
      <c r="K150" s="90" t="inlineStr">
        <is>
          <t>Y</t>
        </is>
      </c>
      <c r="L150" s="90" t="n">
        <v>231</v>
      </c>
    </row>
    <row r="151" ht="15" customHeight="1" s="52">
      <c r="B151" s="90" t="n">
        <v>100145</v>
      </c>
      <c r="C151" s="90" t="n">
        <v>200145</v>
      </c>
      <c r="D151" s="90" t="inlineStr">
        <is>
          <t>Midwest</t>
        </is>
      </c>
      <c r="E151" s="90" t="inlineStr">
        <is>
          <t>Coastal Express</t>
        </is>
      </c>
      <c r="F151" s="90" t="inlineStr">
        <is>
          <t>11/07/2025</t>
        </is>
      </c>
      <c r="G151" s="90" t="inlineStr">
        <is>
          <t>10-Nov-2025</t>
        </is>
      </c>
      <c r="H151" s="90" t="n"/>
      <c r="I151" s="90" t="inlineStr">
        <is>
          <t>Failed - Carrier Delay</t>
        </is>
      </c>
      <c r="J151" s="90" t="inlineStr">
        <is>
          <t>CARRIER_DELAY</t>
        </is>
      </c>
      <c r="K151" s="90" t="n"/>
      <c r="L151" s="90" t="n">
        <v>524</v>
      </c>
    </row>
    <row r="152" ht="15" customHeight="1" s="52">
      <c r="B152" s="90" t="n">
        <v>100146</v>
      </c>
      <c r="C152" s="90" t="n">
        <v>200146</v>
      </c>
      <c r="D152" s="90" t="inlineStr">
        <is>
          <t>Pacific Northwest</t>
        </is>
      </c>
      <c r="E152" s="90" t="inlineStr">
        <is>
          <t>northline logistics</t>
        </is>
      </c>
      <c r="F152" s="90" t="inlineStr">
        <is>
          <t>10/17/2025</t>
        </is>
      </c>
      <c r="G152" s="90" t="inlineStr">
        <is>
          <t>10/21/2025</t>
        </is>
      </c>
      <c r="H152" s="90" t="inlineStr">
        <is>
          <t>10/20/2025</t>
        </is>
      </c>
      <c r="I152" s="90" t="inlineStr">
        <is>
          <t>DELIVERED</t>
        </is>
      </c>
      <c r="J152" s="90" t="n"/>
      <c r="K152" s="90" t="inlineStr">
        <is>
          <t>Y</t>
        </is>
      </c>
      <c r="L152" s="90" t="n">
        <v>58</v>
      </c>
    </row>
    <row r="153" ht="15" customHeight="1" s="52">
      <c r="B153" s="90" t="n">
        <v>100147</v>
      </c>
      <c r="C153" s="90" t="n">
        <v>200147</v>
      </c>
      <c r="D153" s="90" t="inlineStr">
        <is>
          <t>Pacific Northwest</t>
        </is>
      </c>
      <c r="E153" s="90" t="inlineStr">
        <is>
          <t>Apex Freight</t>
        </is>
      </c>
      <c r="F153" s="90" t="inlineStr">
        <is>
          <t>28-Nov-2025</t>
        </is>
      </c>
      <c r="G153" s="90" t="inlineStr">
        <is>
          <t>30-Nov-2025</t>
        </is>
      </c>
      <c r="H153" s="90" t="inlineStr">
        <is>
          <t>29-Nov-2025</t>
        </is>
      </c>
      <c r="I153" s="90" t="inlineStr">
        <is>
          <t>Delivered</t>
        </is>
      </c>
      <c r="J153" s="90" t="n"/>
      <c r="K153" s="90" t="inlineStr">
        <is>
          <t>Y</t>
        </is>
      </c>
      <c r="L153" s="90" t="n">
        <v>442</v>
      </c>
    </row>
    <row r="154" ht="15" customHeight="1" s="52">
      <c r="B154" s="90" t="n">
        <v>100148</v>
      </c>
      <c r="C154" s="90" t="n">
        <v>200148</v>
      </c>
      <c r="D154" s="90" t="inlineStr">
        <is>
          <t>West</t>
        </is>
      </c>
      <c r="E154" s="90" t="inlineStr">
        <is>
          <t>Apex Freight</t>
        </is>
      </c>
      <c r="F154" s="90" t="inlineStr">
        <is>
          <t>2025-11-21</t>
        </is>
      </c>
      <c r="G154" s="90" t="inlineStr">
        <is>
          <t>2025-11-23</t>
        </is>
      </c>
      <c r="H154" s="90" t="inlineStr">
        <is>
          <t>11/22/2025</t>
        </is>
      </c>
      <c r="I154" s="90" t="inlineStr">
        <is>
          <t xml:space="preserve">  Delivered  </t>
        </is>
      </c>
      <c r="J154" s="90" t="n"/>
      <c r="K154" s="90" t="inlineStr">
        <is>
          <t>Y</t>
        </is>
      </c>
      <c r="L154" s="90" t="n">
        <v>385</v>
      </c>
    </row>
    <row r="155" ht="15" customHeight="1" s="52">
      <c r="B155" s="90" t="n">
        <v>100149</v>
      </c>
      <c r="C155" s="90" t="n">
        <v>200149</v>
      </c>
      <c r="D155" s="90" t="inlineStr">
        <is>
          <t>Southeast</t>
        </is>
      </c>
      <c r="E155" s="90" t="inlineStr">
        <is>
          <t>Summit Carriers</t>
        </is>
      </c>
      <c r="F155" s="90" t="inlineStr">
        <is>
          <t>14-Oct-2025</t>
        </is>
      </c>
      <c r="G155" s="90" t="inlineStr">
        <is>
          <t>2025-10-17</t>
        </is>
      </c>
      <c r="H155" s="90" t="inlineStr">
        <is>
          <t>17-Oct-2025</t>
        </is>
      </c>
      <c r="I155" s="90" t="inlineStr">
        <is>
          <t>Delivered</t>
        </is>
      </c>
      <c r="J155" s="90" t="n"/>
      <c r="K155" s="90" t="inlineStr">
        <is>
          <t>Y</t>
        </is>
      </c>
      <c r="L155" s="90" t="n">
        <v>332</v>
      </c>
    </row>
  </sheetData>
  <mergeCells count="1">
    <mergeCell ref="B3:L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I1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1" min="1" max="1"/>
    <col width="16" customWidth="1" style="51" min="2" max="3"/>
    <col width="18" customWidth="1" style="51" min="4" max="4"/>
    <col width="14" customWidth="1" style="51" min="5" max="5"/>
    <col width="16" customWidth="1" style="51" min="6" max="7"/>
    <col width="18" customWidth="1" style="51" min="8" max="8"/>
    <col width="22" customWidth="1" style="51" min="9" max="9"/>
  </cols>
  <sheetData>
    <row r="2" ht="17.35" customHeight="1" s="52">
      <c r="B2" s="58" t="inlineStr">
        <is>
          <t>Data Cleaning — Excel Formulas</t>
        </is>
      </c>
    </row>
    <row r="3" ht="15" customHeight="1" s="52">
      <c r="B3" s="59" t="inlineStr">
        <is>
          <t>TRIM/CLEAN standardize messy raw fields; IFERROR keeps output clean when data is missing. First 100 records shown.</t>
        </is>
      </c>
    </row>
    <row r="5" ht="15" customHeight="1" s="52">
      <c r="B5" s="82" t="inlineStr">
        <is>
          <t>Delivery_ID</t>
        </is>
      </c>
      <c r="C5" s="82" t="inlineStr">
        <is>
          <t>Region_RAW</t>
        </is>
      </c>
      <c r="D5" s="82" t="inlineStr">
        <is>
          <t>Region_CLEAN</t>
        </is>
      </c>
      <c r="E5" s="82" t="inlineStr">
        <is>
          <t>Carrier_RAW</t>
        </is>
      </c>
      <c r="F5" s="82" t="inlineStr">
        <is>
          <t>Carrier_CLEAN</t>
        </is>
      </c>
      <c r="G5" s="82" t="inlineStr">
        <is>
          <t>Status_RAW</t>
        </is>
      </c>
      <c r="H5" s="82" t="inlineStr">
        <is>
          <t>Status_CLEAN</t>
        </is>
      </c>
      <c r="I5" s="82" t="inlineStr">
        <is>
          <t>Lead_Time_Days (NETWORKDAYS)</t>
        </is>
      </c>
    </row>
    <row r="6" ht="15" customHeight="1" s="52">
      <c r="B6" s="62" t="n">
        <v>100000</v>
      </c>
      <c r="C6" s="62" t="inlineStr">
        <is>
          <t>Southeast</t>
        </is>
      </c>
      <c r="D6" s="62">
        <f>IFERROR(PROPER(TRIM(CLEAN(C6))),"Unknown")</f>
        <v/>
      </c>
      <c r="E6" s="62" t="inlineStr">
        <is>
          <t xml:space="preserve">  Apex Freight  </t>
        </is>
      </c>
      <c r="F6" s="62">
        <f>IFERROR(PROPER(TRIM(CLEAN(E6))),"Unknown")</f>
        <v/>
      </c>
      <c r="G6" s="62" t="inlineStr">
        <is>
          <t>Delivered</t>
        </is>
      </c>
      <c r="H6" s="62">
        <f>IFERROR(PROPER(TRIM(CLEAN(G6))),"Unknown")</f>
        <v/>
      </c>
      <c r="I6" s="64">
        <f>IFERROR(NETWORKDAYS(DATEVALUE("2025-11-05"),DATEVALUE("11/08/2025")),"N/A")</f>
        <v/>
      </c>
    </row>
    <row r="7" ht="15" customHeight="1" s="52">
      <c r="B7" s="62" t="n">
        <v>100001</v>
      </c>
      <c r="C7" s="62" t="inlineStr">
        <is>
          <t>Northeast</t>
        </is>
      </c>
      <c r="D7" s="62">
        <f>IFERROR(PROPER(TRIM(CLEAN(C7))),"Unknown")</f>
        <v/>
      </c>
      <c r="E7" s="62" t="inlineStr">
        <is>
          <t>apex freight</t>
        </is>
      </c>
      <c r="F7" s="62">
        <f>IFERROR(PROPER(TRIM(CLEAN(E7))),"Unknown")</f>
        <v/>
      </c>
      <c r="G7" s="62" t="inlineStr">
        <is>
          <t>Delivered - Late</t>
        </is>
      </c>
      <c r="H7" s="62">
        <f>IFERROR(PROPER(TRIM(CLEAN(G7))),"Unknown")</f>
        <v/>
      </c>
      <c r="I7" s="64">
        <f>IFERROR(NETWORKDAYS(DATEVALUE("28-Oct-2025"),DATEVALUE("10/31/2025")),"N/A")</f>
        <v/>
      </c>
    </row>
    <row r="8" ht="15" customHeight="1" s="52">
      <c r="B8" s="62" t="n">
        <v>100002</v>
      </c>
      <c r="C8" s="62" t="inlineStr">
        <is>
          <t>PACIFIC NORTHWEST</t>
        </is>
      </c>
      <c r="D8" s="62">
        <f>IFERROR(PROPER(TRIM(CLEAN(C8))),"Unknown")</f>
        <v/>
      </c>
      <c r="E8" s="62" t="inlineStr">
        <is>
          <t>Northline Logistics</t>
        </is>
      </c>
      <c r="F8" s="62">
        <f>IFERROR(PROPER(TRIM(CLEAN(E8))),"Unknown")</f>
        <v/>
      </c>
      <c r="G8" s="62" t="inlineStr">
        <is>
          <t>Delivered</t>
        </is>
      </c>
      <c r="H8" s="62">
        <f>IFERROR(PROPER(TRIM(CLEAN(G8))),"Unknown")</f>
        <v/>
      </c>
      <c r="I8" s="64">
        <f>IFERROR(NETWORKDAYS(DATEVALUE("27-Nov-2025"),DATEVALUE("02-Dec-2025")),"N/A")</f>
        <v/>
      </c>
    </row>
    <row r="9" ht="15" customHeight="1" s="52">
      <c r="B9" s="62" t="n">
        <v>100003</v>
      </c>
      <c r="C9" s="62" t="inlineStr">
        <is>
          <t>West</t>
        </is>
      </c>
      <c r="D9" s="62">
        <f>IFERROR(PROPER(TRIM(CLEAN(C9))),"Unknown")</f>
        <v/>
      </c>
      <c r="E9" s="62" t="inlineStr">
        <is>
          <t>Northline Logistics</t>
        </is>
      </c>
      <c r="F9" s="62">
        <f>IFERROR(PROPER(TRIM(CLEAN(E9))),"Unknown")</f>
        <v/>
      </c>
      <c r="G9" s="62" t="inlineStr">
        <is>
          <t>Failed - Carrier Delay</t>
        </is>
      </c>
      <c r="H9" s="62">
        <f>IFERROR(PROPER(TRIM(CLEAN(G9))),"Unknown")</f>
        <v/>
      </c>
      <c r="I9" s="64">
        <f>IFERROR(NETWORKDAYS(DATEVALUE("28-Oct-2025"),DATEVALUE("31-Oct-2025")),"N/A")</f>
        <v/>
      </c>
    </row>
    <row r="10" ht="15" customHeight="1" s="52">
      <c r="B10" s="62" t="n">
        <v>100004</v>
      </c>
      <c r="C10" s="62" t="inlineStr">
        <is>
          <t>Southeast</t>
        </is>
      </c>
      <c r="D10" s="62">
        <f>IFERROR(PROPER(TRIM(CLEAN(C10))),"Unknown")</f>
        <v/>
      </c>
      <c r="E10" s="62" t="inlineStr">
        <is>
          <t>Coastal Express</t>
        </is>
      </c>
      <c r="F10" s="62">
        <f>IFERROR(PROPER(TRIM(CLEAN(E10))),"Unknown")</f>
        <v/>
      </c>
      <c r="G10" s="62" t="inlineStr">
        <is>
          <t>DELIVERED - LATE</t>
        </is>
      </c>
      <c r="H10" s="62">
        <f>IFERROR(PROPER(TRIM(CLEAN(G10))),"Unknown")</f>
        <v/>
      </c>
      <c r="I10" s="64">
        <f>IFERROR(NETWORKDAYS(DATEVALUE("2025-11-14"),DATEVALUE("19-Nov-2025")),"N/A")</f>
        <v/>
      </c>
    </row>
    <row r="11" ht="15" customHeight="1" s="52">
      <c r="B11" s="62" t="n">
        <v>100005</v>
      </c>
      <c r="C11" s="62" t="inlineStr">
        <is>
          <t>Southeast</t>
        </is>
      </c>
      <c r="D11" s="62">
        <f>IFERROR(PROPER(TRIM(CLEAN(C11))),"Unknown")</f>
        <v/>
      </c>
      <c r="E11" s="62" t="inlineStr">
        <is>
          <t>Coastal Express</t>
        </is>
      </c>
      <c r="F11" s="62">
        <f>IFERROR(PROPER(TRIM(CLEAN(E11))),"Unknown")</f>
        <v/>
      </c>
      <c r="G11" s="62" t="inlineStr">
        <is>
          <t>Delivered</t>
        </is>
      </c>
      <c r="H11" s="62">
        <f>IFERROR(PROPER(TRIM(CLEAN(G11))),"Unknown")</f>
        <v/>
      </c>
      <c r="I11" s="64">
        <f>IFERROR(NETWORKDAYS(DATEVALUE("12/20/2025"),DATEVALUE("12/25/2025")),"N/A")</f>
        <v/>
      </c>
    </row>
    <row r="12" ht="15" customHeight="1" s="52">
      <c r="B12" s="62" t="n">
        <v>100006</v>
      </c>
      <c r="C12" s="62" t="inlineStr">
        <is>
          <t>Southwest</t>
        </is>
      </c>
      <c r="D12" s="62">
        <f>IFERROR(PROPER(TRIM(CLEAN(C12))),"Unknown")</f>
        <v/>
      </c>
      <c r="E12" s="62" t="inlineStr">
        <is>
          <t>Coastal Express</t>
        </is>
      </c>
      <c r="F12" s="62">
        <f>IFERROR(PROPER(TRIM(CLEAN(E12))),"Unknown")</f>
        <v/>
      </c>
      <c r="G12" s="62" t="inlineStr">
        <is>
          <t>Delivered</t>
        </is>
      </c>
      <c r="H12" s="62">
        <f>IFERROR(PROPER(TRIM(CLEAN(G12))),"Unknown")</f>
        <v/>
      </c>
      <c r="I12" s="64">
        <f>IFERROR(NETWORKDAYS(DATEVALUE("2025-10-11"),DATEVALUE("10/14/2025")),"N/A")</f>
        <v/>
      </c>
    </row>
    <row r="13" ht="15" customHeight="1" s="52">
      <c r="B13" s="62" t="n">
        <v>100007</v>
      </c>
      <c r="C13" s="62" t="inlineStr">
        <is>
          <t>Midwest</t>
        </is>
      </c>
      <c r="D13" s="62">
        <f>IFERROR(PROPER(TRIM(CLEAN(C13))),"Unknown")</f>
        <v/>
      </c>
      <c r="E13" s="62" t="inlineStr">
        <is>
          <t>Coastal Express</t>
        </is>
      </c>
      <c r="F13" s="62">
        <f>IFERROR(PROPER(TRIM(CLEAN(E13))),"Unknown")</f>
        <v/>
      </c>
      <c r="G13" s="62" t="inlineStr">
        <is>
          <t>Delivered</t>
        </is>
      </c>
      <c r="H13" s="62">
        <f>IFERROR(PROPER(TRIM(CLEAN(G13))),"Unknown")</f>
        <v/>
      </c>
      <c r="I13" s="64">
        <f>IFERROR(NETWORKDAYS(DATEVALUE("11/15/2025"),DATEVALUE("11/18/2025")),"N/A")</f>
        <v/>
      </c>
    </row>
    <row r="14" ht="15" customHeight="1" s="52">
      <c r="B14" s="62" t="n">
        <v>100008</v>
      </c>
      <c r="C14" s="62" t="inlineStr">
        <is>
          <t>Southwest</t>
        </is>
      </c>
      <c r="D14" s="62">
        <f>IFERROR(PROPER(TRIM(CLEAN(C14))),"Unknown")</f>
        <v/>
      </c>
      <c r="E14" s="62" t="inlineStr">
        <is>
          <t>Northline Logistics</t>
        </is>
      </c>
      <c r="F14" s="62">
        <f>IFERROR(PROPER(TRIM(CLEAN(E14))),"Unknown")</f>
        <v/>
      </c>
      <c r="G14" s="62" t="inlineStr">
        <is>
          <t>Delivered</t>
        </is>
      </c>
      <c r="H14" s="62">
        <f>IFERROR(PROPER(TRIM(CLEAN(G14))),"Unknown")</f>
        <v/>
      </c>
      <c r="I14" s="64">
        <f>IFERROR(NETWORKDAYS(DATEVALUE("2025-11-29"),DATEVALUE("12/03/2025")),"N/A")</f>
        <v/>
      </c>
    </row>
    <row r="15" ht="15" customHeight="1" s="52">
      <c r="B15" s="62" t="n">
        <v>100009</v>
      </c>
      <c r="C15" s="62" t="inlineStr">
        <is>
          <t>Southwest</t>
        </is>
      </c>
      <c r="D15" s="62">
        <f>IFERROR(PROPER(TRIM(CLEAN(C15))),"Unknown")</f>
        <v/>
      </c>
      <c r="E15" s="62" t="inlineStr">
        <is>
          <t>Apex Freight</t>
        </is>
      </c>
      <c r="F15" s="62">
        <f>IFERROR(PROPER(TRIM(CLEAN(E15))),"Unknown")</f>
        <v/>
      </c>
      <c r="G15" s="62" t="inlineStr">
        <is>
          <t>Delivered</t>
        </is>
      </c>
      <c r="H15" s="62">
        <f>IFERROR(PROPER(TRIM(CLEAN(G15))),"Unknown")</f>
        <v/>
      </c>
      <c r="I15" s="64">
        <f>IFERROR(NETWORKDAYS(DATEVALUE("2025-11-10"),DATEVALUE("2025-11-14")),"N/A")</f>
        <v/>
      </c>
    </row>
    <row r="16" ht="15" customHeight="1" s="52">
      <c r="B16" s="62" t="n">
        <v>100010</v>
      </c>
      <c r="C16" s="62" t="inlineStr">
        <is>
          <t xml:space="preserve">  Pacific Northwest  </t>
        </is>
      </c>
      <c r="D16" s="62">
        <f>IFERROR(PROPER(TRIM(CLEAN(C16))),"Unknown")</f>
        <v/>
      </c>
      <c r="E16" s="62" t="inlineStr">
        <is>
          <t>Summit Carriers</t>
        </is>
      </c>
      <c r="F16" s="62">
        <f>IFERROR(PROPER(TRIM(CLEAN(E16))),"Unknown")</f>
        <v/>
      </c>
      <c r="G16" s="62" t="inlineStr">
        <is>
          <t>Delivered</t>
        </is>
      </c>
      <c r="H16" s="62">
        <f>IFERROR(PROPER(TRIM(CLEAN(G16))),"Unknown")</f>
        <v/>
      </c>
      <c r="I16" s="64">
        <f>IFERROR(NETWORKDAYS(DATEVALUE("10/19/2025"),DATEVALUE("10/22/2025")),"N/A")</f>
        <v/>
      </c>
    </row>
    <row r="17" ht="15" customHeight="1" s="52">
      <c r="B17" s="62" t="n">
        <v>100011</v>
      </c>
      <c r="C17" s="62" t="inlineStr">
        <is>
          <t>Pacific Northwest</t>
        </is>
      </c>
      <c r="D17" s="62">
        <f>IFERROR(PROPER(TRIM(CLEAN(C17))),"Unknown")</f>
        <v/>
      </c>
      <c r="E17" s="62" t="inlineStr">
        <is>
          <t>Coastal Express</t>
        </is>
      </c>
      <c r="F17" s="62">
        <f>IFERROR(PROPER(TRIM(CLEAN(E17))),"Unknown")</f>
        <v/>
      </c>
      <c r="G17" s="62" t="inlineStr">
        <is>
          <t>Delivered</t>
        </is>
      </c>
      <c r="H17" s="62">
        <f>IFERROR(PROPER(TRIM(CLEAN(G17))),"Unknown")</f>
        <v/>
      </c>
      <c r="I17" s="64">
        <f>IFERROR(NETWORKDAYS(DATEVALUE("2025-10-29"),DATEVALUE("2025-11-01")),"N/A")</f>
        <v/>
      </c>
    </row>
    <row r="18" ht="15" customHeight="1" s="52">
      <c r="B18" s="62" t="n">
        <v>100012</v>
      </c>
      <c r="C18" s="62" t="inlineStr">
        <is>
          <t>Midwest</t>
        </is>
      </c>
      <c r="D18" s="62">
        <f>IFERROR(PROPER(TRIM(CLEAN(C18))),"Unknown")</f>
        <v/>
      </c>
      <c r="E18" s="62" t="inlineStr">
        <is>
          <t>Summit Carriers</t>
        </is>
      </c>
      <c r="F18" s="62">
        <f>IFERROR(PROPER(TRIM(CLEAN(E18))),"Unknown")</f>
        <v/>
      </c>
      <c r="G18" s="62" t="inlineStr">
        <is>
          <t>Delivered</t>
        </is>
      </c>
      <c r="H18" s="62">
        <f>IFERROR(PROPER(TRIM(CLEAN(G18))),"Unknown")</f>
        <v/>
      </c>
      <c r="I18" s="64">
        <f>IFERROR(NETWORKDAYS(DATEVALUE("16-Dec-2025"),DATEVALUE("12/18/2025")),"N/A")</f>
        <v/>
      </c>
    </row>
    <row r="19" ht="15" customHeight="1" s="52">
      <c r="B19" s="62" t="n">
        <v>100013</v>
      </c>
      <c r="C19" s="62" t="inlineStr">
        <is>
          <t>Northeast</t>
        </is>
      </c>
      <c r="D19" s="62">
        <f>IFERROR(PROPER(TRIM(CLEAN(C19))),"Unknown")</f>
        <v/>
      </c>
      <c r="E19" s="62" t="inlineStr">
        <is>
          <t>Apex Freight</t>
        </is>
      </c>
      <c r="F19" s="62">
        <f>IFERROR(PROPER(TRIM(CLEAN(E19))),"Unknown")</f>
        <v/>
      </c>
      <c r="G19" s="62" t="inlineStr">
        <is>
          <t>Delivered</t>
        </is>
      </c>
      <c r="H19" s="62">
        <f>IFERROR(PROPER(TRIM(CLEAN(G19))),"Unknown")</f>
        <v/>
      </c>
      <c r="I19" s="64">
        <f>IFERROR(NETWORKDAYS(DATEVALUE("27-Dec-2025"),DATEVALUE("01/01/2026")),"N/A")</f>
        <v/>
      </c>
    </row>
    <row r="20" ht="15" customHeight="1" s="52">
      <c r="B20" s="62" t="n">
        <v>100014</v>
      </c>
      <c r="C20" s="62" t="inlineStr">
        <is>
          <t>Midwest</t>
        </is>
      </c>
      <c r="D20" s="62">
        <f>IFERROR(PROPER(TRIM(CLEAN(C20))),"Unknown")</f>
        <v/>
      </c>
      <c r="E20" s="62" t="inlineStr">
        <is>
          <t xml:space="preserve">  Summit Carriers  </t>
        </is>
      </c>
      <c r="F20" s="62">
        <f>IFERROR(PROPER(TRIM(CLEAN(E20))),"Unknown")</f>
        <v/>
      </c>
      <c r="G20" s="62" t="inlineStr">
        <is>
          <t>DELIVERED</t>
        </is>
      </c>
      <c r="H20" s="62">
        <f>IFERROR(PROPER(TRIM(CLEAN(G20))),"Unknown")</f>
        <v/>
      </c>
      <c r="I20" s="64">
        <f>IFERROR(NETWORKDAYS(DATEVALUE("10/01/2025"),DATEVALUE("2025-10-04")),"N/A")</f>
        <v/>
      </c>
    </row>
    <row r="21" ht="15" customHeight="1" s="52">
      <c r="B21" s="62" t="n">
        <v>100015</v>
      </c>
      <c r="C21" s="62" t="inlineStr">
        <is>
          <t>Southwest</t>
        </is>
      </c>
      <c r="D21" s="62">
        <f>IFERROR(PROPER(TRIM(CLEAN(C21))),"Unknown")</f>
        <v/>
      </c>
      <c r="E21" s="62" t="inlineStr">
        <is>
          <t>Northline Logistics</t>
        </is>
      </c>
      <c r="F21" s="62">
        <f>IFERROR(PROPER(TRIM(CLEAN(E21))),"Unknown")</f>
        <v/>
      </c>
      <c r="G21" s="62" t="inlineStr">
        <is>
          <t>Delivered</t>
        </is>
      </c>
      <c r="H21" s="62">
        <f>IFERROR(PROPER(TRIM(CLEAN(G21))),"Unknown")</f>
        <v/>
      </c>
      <c r="I21" s="64">
        <f>IFERROR(NETWORKDAYS(DATEVALUE("17-Nov-2025"),DATEVALUE("11/20/2025")),"N/A")</f>
        <v/>
      </c>
    </row>
    <row r="22" ht="15" customHeight="1" s="52">
      <c r="B22" s="62" t="n">
        <v>100016</v>
      </c>
      <c r="C22" s="62" t="inlineStr">
        <is>
          <t>Northeast</t>
        </is>
      </c>
      <c r="D22" s="62">
        <f>IFERROR(PROPER(TRIM(CLEAN(C22))),"Unknown")</f>
        <v/>
      </c>
      <c r="E22" s="62" t="inlineStr">
        <is>
          <t>Apex Freight</t>
        </is>
      </c>
      <c r="F22" s="62">
        <f>IFERROR(PROPER(TRIM(CLEAN(E22))),"Unknown")</f>
        <v/>
      </c>
      <c r="G22" s="62" t="inlineStr">
        <is>
          <t>Delivered</t>
        </is>
      </c>
      <c r="H22" s="62">
        <f>IFERROR(PROPER(TRIM(CLEAN(G22))),"Unknown")</f>
        <v/>
      </c>
      <c r="I22" s="64">
        <f>IFERROR(NETWORKDAYS(DATEVALUE("16-Nov-2025"),DATEVALUE("19-Nov-2025")),"N/A")</f>
        <v/>
      </c>
    </row>
    <row r="23" ht="15" customHeight="1" s="52">
      <c r="B23" s="62" t="n">
        <v>100017</v>
      </c>
      <c r="C23" s="62" t="inlineStr">
        <is>
          <t>Southeast</t>
        </is>
      </c>
      <c r="D23" s="62">
        <f>IFERROR(PROPER(TRIM(CLEAN(C23))),"Unknown")</f>
        <v/>
      </c>
      <c r="E23" s="62" t="inlineStr">
        <is>
          <t>Northline Logistics</t>
        </is>
      </c>
      <c r="F23" s="62">
        <f>IFERROR(PROPER(TRIM(CLEAN(E23))),"Unknown")</f>
        <v/>
      </c>
      <c r="G23" s="62" t="inlineStr">
        <is>
          <t>Delivered</t>
        </is>
      </c>
      <c r="H23" s="62">
        <f>IFERROR(PROPER(TRIM(CLEAN(G23))),"Unknown")</f>
        <v/>
      </c>
      <c r="I23" s="64">
        <f>IFERROR(NETWORKDAYS(DATEVALUE("10/17/2025"),DATEVALUE("10/21/2025")),"N/A")</f>
        <v/>
      </c>
    </row>
    <row r="24" ht="15" customHeight="1" s="52">
      <c r="B24" s="62" t="n">
        <v>100018</v>
      </c>
      <c r="C24" s="62" t="inlineStr">
        <is>
          <t xml:space="preserve">  Southwest  </t>
        </is>
      </c>
      <c r="D24" s="62">
        <f>IFERROR(PROPER(TRIM(CLEAN(C24))),"Unknown")</f>
        <v/>
      </c>
      <c r="E24" s="62" t="inlineStr">
        <is>
          <t>Coastal Express</t>
        </is>
      </c>
      <c r="F24" s="62">
        <f>IFERROR(PROPER(TRIM(CLEAN(E24))),"Unknown")</f>
        <v/>
      </c>
      <c r="G24" s="62" t="inlineStr">
        <is>
          <t>Delivered</t>
        </is>
      </c>
      <c r="H24" s="62">
        <f>IFERROR(PROPER(TRIM(CLEAN(G24))),"Unknown")</f>
        <v/>
      </c>
      <c r="I24" s="64">
        <f>IFERROR(NETWORKDAYS(DATEVALUE("2025-11-21"),DATEVALUE("11/24/2025")),"N/A")</f>
        <v/>
      </c>
    </row>
    <row r="25" ht="15" customHeight="1" s="52">
      <c r="B25" s="62" t="n">
        <v>100019</v>
      </c>
      <c r="C25" s="62" t="inlineStr">
        <is>
          <t>Mid-Atlantic</t>
        </is>
      </c>
      <c r="D25" s="62">
        <f>IFERROR(PROPER(TRIM(CLEAN(C25))),"Unknown")</f>
        <v/>
      </c>
      <c r="E25" s="62" t="inlineStr">
        <is>
          <t>Apex Freight</t>
        </is>
      </c>
      <c r="F25" s="62">
        <f>IFERROR(PROPER(TRIM(CLEAN(E25))),"Unknown")</f>
        <v/>
      </c>
      <c r="G25" s="62" t="inlineStr">
        <is>
          <t>Delivered</t>
        </is>
      </c>
      <c r="H25" s="62">
        <f>IFERROR(PROPER(TRIM(CLEAN(G25))),"Unknown")</f>
        <v/>
      </c>
      <c r="I25" s="64">
        <f>IFERROR(NETWORKDAYS(DATEVALUE("2025-12-15"),DATEVALUE("12/20/2025")),"N/A")</f>
        <v/>
      </c>
    </row>
    <row r="26" ht="15" customHeight="1" s="52">
      <c r="B26" s="62" t="n">
        <v>100020</v>
      </c>
      <c r="C26" s="62" t="inlineStr">
        <is>
          <t>Southwest</t>
        </is>
      </c>
      <c r="D26" s="62">
        <f>IFERROR(PROPER(TRIM(CLEAN(C26))),"Unknown")</f>
        <v/>
      </c>
      <c r="E26" s="62" t="inlineStr">
        <is>
          <t>Apex Freight</t>
        </is>
      </c>
      <c r="F26" s="62">
        <f>IFERROR(PROPER(TRIM(CLEAN(E26))),"Unknown")</f>
        <v/>
      </c>
      <c r="G26" s="62" t="inlineStr">
        <is>
          <t>Failed - Carrier Delay</t>
        </is>
      </c>
      <c r="H26" s="62">
        <f>IFERROR(PROPER(TRIM(CLEAN(G26))),"Unknown")</f>
        <v/>
      </c>
      <c r="I26" s="64">
        <f>IFERROR(NETWORKDAYS(DATEVALUE("2025-10-05"),DATEVALUE("2025-10-08")),"N/A")</f>
        <v/>
      </c>
    </row>
    <row r="27" ht="15" customHeight="1" s="52">
      <c r="B27" s="62" t="n">
        <v>100021</v>
      </c>
      <c r="C27" s="62" t="inlineStr">
        <is>
          <t>West</t>
        </is>
      </c>
      <c r="D27" s="62">
        <f>IFERROR(PROPER(TRIM(CLEAN(C27))),"Unknown")</f>
        <v/>
      </c>
      <c r="E27" s="62" t="inlineStr">
        <is>
          <t>Summit Carriers</t>
        </is>
      </c>
      <c r="F27" s="62">
        <f>IFERROR(PROPER(TRIM(CLEAN(E27))),"Unknown")</f>
        <v/>
      </c>
      <c r="G27" s="62" t="inlineStr">
        <is>
          <t>Delivered</t>
        </is>
      </c>
      <c r="H27" s="62">
        <f>IFERROR(PROPER(TRIM(CLEAN(G27))),"Unknown")</f>
        <v/>
      </c>
      <c r="I27" s="64">
        <f>IFERROR(NETWORKDAYS(DATEVALUE("2025-10-28"),DATEVALUE("2025-11-02")),"N/A")</f>
        <v/>
      </c>
    </row>
    <row r="28" ht="15" customHeight="1" s="52">
      <c r="B28" s="62" t="n">
        <v>100022</v>
      </c>
      <c r="C28" s="62" t="inlineStr">
        <is>
          <t>Pacific Northwest</t>
        </is>
      </c>
      <c r="D28" s="62">
        <f>IFERROR(PROPER(TRIM(CLEAN(C28))),"Unknown")</f>
        <v/>
      </c>
      <c r="E28" s="62" t="inlineStr">
        <is>
          <t>NORTHLINE LOGISTICS</t>
        </is>
      </c>
      <c r="F28" s="62">
        <f>IFERROR(PROPER(TRIM(CLEAN(E28))),"Unknown")</f>
        <v/>
      </c>
      <c r="G28" s="62" t="inlineStr">
        <is>
          <t>Delivered</t>
        </is>
      </c>
      <c r="H28" s="62">
        <f>IFERROR(PROPER(TRIM(CLEAN(G28))),"Unknown")</f>
        <v/>
      </c>
      <c r="I28" s="64">
        <f>IFERROR(NETWORKDAYS(DATEVALUE("2025-10-13"),DATEVALUE("15-Oct-2025")),"N/A")</f>
        <v/>
      </c>
    </row>
    <row r="29" ht="15" customHeight="1" s="52">
      <c r="B29" s="62" t="n">
        <v>100023</v>
      </c>
      <c r="C29" s="62" t="inlineStr">
        <is>
          <t>Southeast</t>
        </is>
      </c>
      <c r="D29" s="62">
        <f>IFERROR(PROPER(TRIM(CLEAN(C29))),"Unknown")</f>
        <v/>
      </c>
      <c r="E29" s="62" t="inlineStr">
        <is>
          <t xml:space="preserve">  Apex Freight  </t>
        </is>
      </c>
      <c r="F29" s="62">
        <f>IFERROR(PROPER(TRIM(CLEAN(E29))),"Unknown")</f>
        <v/>
      </c>
      <c r="G29" s="62" t="inlineStr">
        <is>
          <t>Delivered</t>
        </is>
      </c>
      <c r="H29" s="62">
        <f>IFERROR(PROPER(TRIM(CLEAN(G29))),"Unknown")</f>
        <v/>
      </c>
      <c r="I29" s="64">
        <f>IFERROR(NETWORKDAYS(DATEVALUE("2025-11-21"),DATEVALUE("2025-11-24")),"N/A")</f>
        <v/>
      </c>
    </row>
    <row r="30" ht="15" customHeight="1" s="52">
      <c r="B30" s="62" t="n">
        <v>100024</v>
      </c>
      <c r="C30" s="62" t="inlineStr">
        <is>
          <t>Midwest</t>
        </is>
      </c>
      <c r="D30" s="62">
        <f>IFERROR(PROPER(TRIM(CLEAN(C30))),"Unknown")</f>
        <v/>
      </c>
      <c r="E30" s="62" t="inlineStr">
        <is>
          <t>Summit Carriers</t>
        </is>
      </c>
      <c r="F30" s="62">
        <f>IFERROR(PROPER(TRIM(CLEAN(E30))),"Unknown")</f>
        <v/>
      </c>
      <c r="G30" s="62" t="inlineStr">
        <is>
          <t>Delivered</t>
        </is>
      </c>
      <c r="H30" s="62">
        <f>IFERROR(PROPER(TRIM(CLEAN(G30))),"Unknown")</f>
        <v/>
      </c>
      <c r="I30" s="64">
        <f>IFERROR(NETWORKDAYS(DATEVALUE("2025-10-24"),DATEVALUE("27-Oct-2025")),"N/A")</f>
        <v/>
      </c>
    </row>
    <row r="31" ht="15" customHeight="1" s="52">
      <c r="B31" s="62" t="n">
        <v>100025</v>
      </c>
      <c r="C31" s="62" t="inlineStr">
        <is>
          <t>Southeast</t>
        </is>
      </c>
      <c r="D31" s="62">
        <f>IFERROR(PROPER(TRIM(CLEAN(C31))),"Unknown")</f>
        <v/>
      </c>
      <c r="E31" s="62" t="inlineStr">
        <is>
          <t>Apex Freight</t>
        </is>
      </c>
      <c r="F31" s="62">
        <f>IFERROR(PROPER(TRIM(CLEAN(E31))),"Unknown")</f>
        <v/>
      </c>
      <c r="G31" s="62" t="inlineStr">
        <is>
          <t>Delivered</t>
        </is>
      </c>
      <c r="H31" s="62">
        <f>IFERROR(PROPER(TRIM(CLEAN(G31))),"Unknown")</f>
        <v/>
      </c>
      <c r="I31" s="64">
        <f>IFERROR(NETWORKDAYS(DATEVALUE("23-Dec-2025"),DATEVALUE("28-Dec-2025")),"N/A")</f>
        <v/>
      </c>
    </row>
    <row r="32" ht="15" customHeight="1" s="52">
      <c r="B32" s="62" t="n">
        <v>100026</v>
      </c>
      <c r="C32" s="62" t="inlineStr">
        <is>
          <t>Mountain</t>
        </is>
      </c>
      <c r="D32" s="62">
        <f>IFERROR(PROPER(TRIM(CLEAN(C32))),"Unknown")</f>
        <v/>
      </c>
      <c r="E32" s="62" t="inlineStr">
        <is>
          <t>Northline Logistics</t>
        </is>
      </c>
      <c r="F32" s="62">
        <f>IFERROR(PROPER(TRIM(CLEAN(E32))),"Unknown")</f>
        <v/>
      </c>
      <c r="G32" s="62" t="inlineStr">
        <is>
          <t>Failed - Carrier Delay</t>
        </is>
      </c>
      <c r="H32" s="62">
        <f>IFERROR(PROPER(TRIM(CLEAN(G32))),"Unknown")</f>
        <v/>
      </c>
      <c r="I32" s="64">
        <f>IFERROR(NETWORKDAYS(DATEVALUE("21-Nov-2025"),DATEVALUE("11/23/2025")),"N/A")</f>
        <v/>
      </c>
    </row>
    <row r="33" ht="15" customHeight="1" s="52">
      <c r="B33" s="62" t="n">
        <v>100027</v>
      </c>
      <c r="C33" s="62" t="inlineStr">
        <is>
          <t>PACIFIC NORTHWEST</t>
        </is>
      </c>
      <c r="D33" s="62">
        <f>IFERROR(PROPER(TRIM(CLEAN(C33))),"Unknown")</f>
        <v/>
      </c>
      <c r="E33" s="62" t="inlineStr">
        <is>
          <t>coastal express</t>
        </is>
      </c>
      <c r="F33" s="62">
        <f>IFERROR(PROPER(TRIM(CLEAN(E33))),"Unknown")</f>
        <v/>
      </c>
      <c r="G33" s="62" t="inlineStr">
        <is>
          <t>Delivered</t>
        </is>
      </c>
      <c r="H33" s="62">
        <f>IFERROR(PROPER(TRIM(CLEAN(G33))),"Unknown")</f>
        <v/>
      </c>
      <c r="I33" s="64">
        <f>IFERROR(NETWORKDAYS(DATEVALUE("2025-11-28"),DATEVALUE("12/01/2025")),"N/A")</f>
        <v/>
      </c>
    </row>
    <row r="34" ht="15" customHeight="1" s="52">
      <c r="B34" s="62" t="n">
        <v>100028</v>
      </c>
      <c r="C34" s="62" t="inlineStr">
        <is>
          <t>Southwest</t>
        </is>
      </c>
      <c r="D34" s="62">
        <f>IFERROR(PROPER(TRIM(CLEAN(C34))),"Unknown")</f>
        <v/>
      </c>
      <c r="E34" s="62" t="inlineStr">
        <is>
          <t>Apex Freight</t>
        </is>
      </c>
      <c r="F34" s="62">
        <f>IFERROR(PROPER(TRIM(CLEAN(E34))),"Unknown")</f>
        <v/>
      </c>
      <c r="G34" s="62" t="inlineStr">
        <is>
          <t>Failed - Carrier Delay</t>
        </is>
      </c>
      <c r="H34" s="62">
        <f>IFERROR(PROPER(TRIM(CLEAN(G34))),"Unknown")</f>
        <v/>
      </c>
      <c r="I34" s="64">
        <f>IFERROR(NETWORKDAYS(DATEVALUE("12/14/2025"),DATEVALUE("2025-12-19")),"N/A")</f>
        <v/>
      </c>
    </row>
    <row r="35" ht="15" customHeight="1" s="52">
      <c r="B35" s="62" t="n">
        <v>100029</v>
      </c>
      <c r="C35" s="62" t="n"/>
      <c r="D35" s="62">
        <f>IFERROR(PROPER(TRIM(CLEAN(C35))),"Unknown")</f>
        <v/>
      </c>
      <c r="E35" s="62" t="inlineStr">
        <is>
          <t>Apex Freight</t>
        </is>
      </c>
      <c r="F35" s="62">
        <f>IFERROR(PROPER(TRIM(CLEAN(E35))),"Unknown")</f>
        <v/>
      </c>
      <c r="G35" s="62" t="inlineStr">
        <is>
          <t>Delivered</t>
        </is>
      </c>
      <c r="H35" s="62">
        <f>IFERROR(PROPER(TRIM(CLEAN(G35))),"Unknown")</f>
        <v/>
      </c>
      <c r="I35" s="64">
        <f>IFERROR(NETWORKDAYS(DATEVALUE("2025-12-14"),DATEVALUE("2025-12-18")),"N/A")</f>
        <v/>
      </c>
    </row>
    <row r="36" ht="15" customHeight="1" s="52">
      <c r="B36" s="62" t="n">
        <v>100030</v>
      </c>
      <c r="C36" s="62" t="inlineStr">
        <is>
          <t>Southeast</t>
        </is>
      </c>
      <c r="D36" s="62">
        <f>IFERROR(PROPER(TRIM(CLEAN(C36))),"Unknown")</f>
        <v/>
      </c>
      <c r="E36" s="62" t="inlineStr">
        <is>
          <t>Northline Logistics</t>
        </is>
      </c>
      <c r="F36" s="62">
        <f>IFERROR(PROPER(TRIM(CLEAN(E36))),"Unknown")</f>
        <v/>
      </c>
      <c r="G36" s="62" t="inlineStr">
        <is>
          <t>failed - carrier delay</t>
        </is>
      </c>
      <c r="H36" s="62">
        <f>IFERROR(PROPER(TRIM(CLEAN(G36))),"Unknown")</f>
        <v/>
      </c>
      <c r="I36" s="64">
        <f>IFERROR(NETWORKDAYS(DATEVALUE("10/09/2025"),DATEVALUE("2025-10-14")),"N/A")</f>
        <v/>
      </c>
    </row>
    <row r="37" ht="15" customHeight="1" s="52">
      <c r="B37" s="62" t="n">
        <v>100031</v>
      </c>
      <c r="C37" s="62" t="inlineStr">
        <is>
          <t>Pacific Northwest</t>
        </is>
      </c>
      <c r="D37" s="62">
        <f>IFERROR(PROPER(TRIM(CLEAN(C37))),"Unknown")</f>
        <v/>
      </c>
      <c r="E37" s="62" t="inlineStr">
        <is>
          <t xml:space="preserve">  Apex Freight  </t>
        </is>
      </c>
      <c r="F37" s="62">
        <f>IFERROR(PROPER(TRIM(CLEAN(E37))),"Unknown")</f>
        <v/>
      </c>
      <c r="G37" s="62" t="inlineStr">
        <is>
          <t>Delivered - Late</t>
        </is>
      </c>
      <c r="H37" s="62">
        <f>IFERROR(PROPER(TRIM(CLEAN(G37))),"Unknown")</f>
        <v/>
      </c>
      <c r="I37" s="64">
        <f>IFERROR(NETWORKDAYS(DATEVALUE("12-Dec-2025"),DATEVALUE("12/15/2025")),"N/A")</f>
        <v/>
      </c>
    </row>
    <row r="38" ht="15" customHeight="1" s="52">
      <c r="B38" s="62" t="n">
        <v>100032</v>
      </c>
      <c r="C38" s="62" t="inlineStr">
        <is>
          <t>Mid-Atlantic</t>
        </is>
      </c>
      <c r="D38" s="62">
        <f>IFERROR(PROPER(TRIM(CLEAN(C38))),"Unknown")</f>
        <v/>
      </c>
      <c r="E38" s="62" t="inlineStr">
        <is>
          <t>Coastal Express</t>
        </is>
      </c>
      <c r="F38" s="62">
        <f>IFERROR(PROPER(TRIM(CLEAN(E38))),"Unknown")</f>
        <v/>
      </c>
      <c r="G38" s="62" t="inlineStr">
        <is>
          <t>delivered</t>
        </is>
      </c>
      <c r="H38" s="62">
        <f>IFERROR(PROPER(TRIM(CLEAN(G38))),"Unknown")</f>
        <v/>
      </c>
      <c r="I38" s="64">
        <f>IFERROR(NETWORKDAYS(DATEVALUE("2025-10-27"),DATEVALUE("30-Oct-2025")),"N/A")</f>
        <v/>
      </c>
    </row>
    <row r="39" ht="15" customHeight="1" s="52">
      <c r="B39" s="62" t="n">
        <v>100033</v>
      </c>
      <c r="C39" s="62" t="inlineStr">
        <is>
          <t>Northeast</t>
        </is>
      </c>
      <c r="D39" s="62">
        <f>IFERROR(PROPER(TRIM(CLEAN(C39))),"Unknown")</f>
        <v/>
      </c>
      <c r="E39" s="62" t="inlineStr">
        <is>
          <t>Summit Carriers</t>
        </is>
      </c>
      <c r="F39" s="62">
        <f>IFERROR(PROPER(TRIM(CLEAN(E39))),"Unknown")</f>
        <v/>
      </c>
      <c r="G39" s="62" t="inlineStr">
        <is>
          <t>Delivered</t>
        </is>
      </c>
      <c r="H39" s="62">
        <f>IFERROR(PROPER(TRIM(CLEAN(G39))),"Unknown")</f>
        <v/>
      </c>
      <c r="I39" s="64">
        <f>IFERROR(NETWORKDAYS(DATEVALUE("12/19/2025"),DATEVALUE("2025-12-24")),"N/A")</f>
        <v/>
      </c>
    </row>
    <row r="40" ht="15" customHeight="1" s="52">
      <c r="B40" s="62" t="n">
        <v>100034</v>
      </c>
      <c r="C40" s="62" t="inlineStr">
        <is>
          <t>Mid-Atlantic</t>
        </is>
      </c>
      <c r="D40" s="62">
        <f>IFERROR(PROPER(TRIM(CLEAN(C40))),"Unknown")</f>
        <v/>
      </c>
      <c r="E40" s="62" t="inlineStr">
        <is>
          <t>Apex Freight</t>
        </is>
      </c>
      <c r="F40" s="62">
        <f>IFERROR(PROPER(TRIM(CLEAN(E40))),"Unknown")</f>
        <v/>
      </c>
      <c r="G40" s="62" t="inlineStr">
        <is>
          <t>Delivered</t>
        </is>
      </c>
      <c r="H40" s="62">
        <f>IFERROR(PROPER(TRIM(CLEAN(G40))),"Unknown")</f>
        <v/>
      </c>
      <c r="I40" s="64">
        <f>IFERROR(NETWORKDAYS(DATEVALUE("11/01/2025"),DATEVALUE("04-Nov-2025")),"N/A")</f>
        <v/>
      </c>
    </row>
    <row r="41" ht="15" customHeight="1" s="52">
      <c r="B41" s="62" t="n">
        <v>100035</v>
      </c>
      <c r="C41" s="62" t="inlineStr">
        <is>
          <t>Northeast</t>
        </is>
      </c>
      <c r="D41" s="62">
        <f>IFERROR(PROPER(TRIM(CLEAN(C41))),"Unknown")</f>
        <v/>
      </c>
      <c r="E41" s="62" t="inlineStr">
        <is>
          <t>Coastal Express</t>
        </is>
      </c>
      <c r="F41" s="62">
        <f>IFERROR(PROPER(TRIM(CLEAN(E41))),"Unknown")</f>
        <v/>
      </c>
      <c r="G41" s="62" t="inlineStr">
        <is>
          <t>delivered</t>
        </is>
      </c>
      <c r="H41" s="62">
        <f>IFERROR(PROPER(TRIM(CLEAN(G41))),"Unknown")</f>
        <v/>
      </c>
      <c r="I41" s="64">
        <f>IFERROR(NETWORKDAYS(DATEVALUE("12/24/2025"),DATEVALUE("12/26/2025")),"N/A")</f>
        <v/>
      </c>
    </row>
    <row r="42" ht="15" customHeight="1" s="52">
      <c r="B42" s="62" t="n">
        <v>100036</v>
      </c>
      <c r="C42" s="62" t="inlineStr">
        <is>
          <t>Midwest</t>
        </is>
      </c>
      <c r="D42" s="62">
        <f>IFERROR(PROPER(TRIM(CLEAN(C42))),"Unknown")</f>
        <v/>
      </c>
      <c r="E42" s="62" t="inlineStr">
        <is>
          <t>COASTAL EXPRESS</t>
        </is>
      </c>
      <c r="F42" s="62">
        <f>IFERROR(PROPER(TRIM(CLEAN(E42))),"Unknown")</f>
        <v/>
      </c>
      <c r="G42" s="62" t="inlineStr">
        <is>
          <t xml:space="preserve">  Delivered  </t>
        </is>
      </c>
      <c r="H42" s="62">
        <f>IFERROR(PROPER(TRIM(CLEAN(G42))),"Unknown")</f>
        <v/>
      </c>
      <c r="I42" s="64">
        <f>IFERROR(NETWORKDAYS(DATEVALUE("11/06/2025"),DATEVALUE("2025-11-11")),"N/A")</f>
        <v/>
      </c>
    </row>
    <row r="43" ht="15" customHeight="1" s="52">
      <c r="B43" s="62" t="n">
        <v>100037</v>
      </c>
      <c r="C43" s="62" t="inlineStr">
        <is>
          <t>Northeast</t>
        </is>
      </c>
      <c r="D43" s="62">
        <f>IFERROR(PROPER(TRIM(CLEAN(C43))),"Unknown")</f>
        <v/>
      </c>
      <c r="E43" s="62" t="inlineStr">
        <is>
          <t>Apex Freight</t>
        </is>
      </c>
      <c r="F43" s="62">
        <f>IFERROR(PROPER(TRIM(CLEAN(E43))),"Unknown")</f>
        <v/>
      </c>
      <c r="G43" s="62" t="inlineStr">
        <is>
          <t>Delivered - Late</t>
        </is>
      </c>
      <c r="H43" s="62">
        <f>IFERROR(PROPER(TRIM(CLEAN(G43))),"Unknown")</f>
        <v/>
      </c>
      <c r="I43" s="64">
        <f>IFERROR(NETWORKDAYS(DATEVALUE("12/21/2025"),DATEVALUE("12/25/2025")),"N/A")</f>
        <v/>
      </c>
    </row>
    <row r="44" ht="15" customHeight="1" s="52">
      <c r="B44" s="62" t="n">
        <v>100038</v>
      </c>
      <c r="C44" s="62" t="inlineStr">
        <is>
          <t>MIDWEST</t>
        </is>
      </c>
      <c r="D44" s="62">
        <f>IFERROR(PROPER(TRIM(CLEAN(C44))),"Unknown")</f>
        <v/>
      </c>
      <c r="E44" s="62" t="inlineStr">
        <is>
          <t xml:space="preserve">  Summit Carriers  </t>
        </is>
      </c>
      <c r="F44" s="62">
        <f>IFERROR(PROPER(TRIM(CLEAN(E44))),"Unknown")</f>
        <v/>
      </c>
      <c r="G44" s="62" t="inlineStr">
        <is>
          <t>Delivered</t>
        </is>
      </c>
      <c r="H44" s="62">
        <f>IFERROR(PROPER(TRIM(CLEAN(G44))),"Unknown")</f>
        <v/>
      </c>
      <c r="I44" s="64">
        <f>IFERROR(NETWORKDAYS(DATEVALUE("10-Dec-2025"),DATEVALUE("2025-12-14")),"N/A")</f>
        <v/>
      </c>
    </row>
    <row r="45" ht="15" customHeight="1" s="52">
      <c r="B45" s="62" t="n">
        <v>100039</v>
      </c>
      <c r="C45" s="62" t="inlineStr">
        <is>
          <t>Midwest</t>
        </is>
      </c>
      <c r="D45" s="62">
        <f>IFERROR(PROPER(TRIM(CLEAN(C45))),"Unknown")</f>
        <v/>
      </c>
      <c r="E45" s="62" t="inlineStr">
        <is>
          <t>Summit Carriers</t>
        </is>
      </c>
      <c r="F45" s="62">
        <f>IFERROR(PROPER(TRIM(CLEAN(E45))),"Unknown")</f>
        <v/>
      </c>
      <c r="G45" s="62" t="inlineStr">
        <is>
          <t>delivered</t>
        </is>
      </c>
      <c r="H45" s="62">
        <f>IFERROR(PROPER(TRIM(CLEAN(G45))),"Unknown")</f>
        <v/>
      </c>
      <c r="I45" s="64">
        <f>IFERROR(NETWORKDAYS(DATEVALUE("17-Oct-2025"),DATEVALUE("2025-10-19")),"N/A")</f>
        <v/>
      </c>
    </row>
    <row r="46" ht="15" customHeight="1" s="52">
      <c r="B46" s="62" t="n">
        <v>100040</v>
      </c>
      <c r="C46" s="62" t="inlineStr">
        <is>
          <t>Southwest</t>
        </is>
      </c>
      <c r="D46" s="62">
        <f>IFERROR(PROPER(TRIM(CLEAN(C46))),"Unknown")</f>
        <v/>
      </c>
      <c r="E46" s="62" t="inlineStr">
        <is>
          <t>Apex Freight</t>
        </is>
      </c>
      <c r="F46" s="62">
        <f>IFERROR(PROPER(TRIM(CLEAN(E46))),"Unknown")</f>
        <v/>
      </c>
      <c r="G46" s="62" t="inlineStr">
        <is>
          <t>Delivered</t>
        </is>
      </c>
      <c r="H46" s="62">
        <f>IFERROR(PROPER(TRIM(CLEAN(G46))),"Unknown")</f>
        <v/>
      </c>
      <c r="I46" s="64">
        <f>IFERROR(NETWORKDAYS(DATEVALUE("15-Nov-2025"),DATEVALUE("2025-11-20")),"N/A")</f>
        <v/>
      </c>
    </row>
    <row r="47" ht="15" customHeight="1" s="52">
      <c r="B47" s="62" t="n">
        <v>100041</v>
      </c>
      <c r="C47" s="62" t="inlineStr">
        <is>
          <t>Midwest</t>
        </is>
      </c>
      <c r="D47" s="62">
        <f>IFERROR(PROPER(TRIM(CLEAN(C47))),"Unknown")</f>
        <v/>
      </c>
      <c r="E47" s="62" t="inlineStr">
        <is>
          <t>NORTHLINE LOGISTICS</t>
        </is>
      </c>
      <c r="F47" s="62">
        <f>IFERROR(PROPER(TRIM(CLEAN(E47))),"Unknown")</f>
        <v/>
      </c>
      <c r="G47" s="62" t="inlineStr">
        <is>
          <t>Failed - Carrier Delay</t>
        </is>
      </c>
      <c r="H47" s="62">
        <f>IFERROR(PROPER(TRIM(CLEAN(G47))),"Unknown")</f>
        <v/>
      </c>
      <c r="I47" s="64">
        <f>IFERROR(NETWORKDAYS(DATEVALUE("2025-11-22"),DATEVALUE("2025-11-24")),"N/A")</f>
        <v/>
      </c>
    </row>
    <row r="48" ht="15" customHeight="1" s="52">
      <c r="B48" s="62" t="n">
        <v>100042</v>
      </c>
      <c r="C48" s="62" t="inlineStr">
        <is>
          <t>Pacific Northwest</t>
        </is>
      </c>
      <c r="D48" s="62">
        <f>IFERROR(PROPER(TRIM(CLEAN(C48))),"Unknown")</f>
        <v/>
      </c>
      <c r="E48" s="62" t="inlineStr">
        <is>
          <t>Northline Logistics</t>
        </is>
      </c>
      <c r="F48" s="62">
        <f>IFERROR(PROPER(TRIM(CLEAN(E48))),"Unknown")</f>
        <v/>
      </c>
      <c r="G48" s="62" t="inlineStr">
        <is>
          <t>Delivered - Late</t>
        </is>
      </c>
      <c r="H48" s="62">
        <f>IFERROR(PROPER(TRIM(CLEAN(G48))),"Unknown")</f>
        <v/>
      </c>
      <c r="I48" s="64">
        <f>IFERROR(NETWORKDAYS(DATEVALUE("2025-11-04"),DATEVALUE("07-Nov-2025")),"N/A")</f>
        <v/>
      </c>
    </row>
    <row r="49" ht="15" customHeight="1" s="52">
      <c r="B49" s="62" t="n">
        <v>100043</v>
      </c>
      <c r="C49" s="62" t="inlineStr">
        <is>
          <t>Southwest</t>
        </is>
      </c>
      <c r="D49" s="62">
        <f>IFERROR(PROPER(TRIM(CLEAN(C49))),"Unknown")</f>
        <v/>
      </c>
      <c r="E49" s="62" t="inlineStr">
        <is>
          <t>Summit Carriers</t>
        </is>
      </c>
      <c r="F49" s="62">
        <f>IFERROR(PROPER(TRIM(CLEAN(E49))),"Unknown")</f>
        <v/>
      </c>
      <c r="G49" s="62" t="inlineStr">
        <is>
          <t>Delivered</t>
        </is>
      </c>
      <c r="H49" s="62">
        <f>IFERROR(PROPER(TRIM(CLEAN(G49))),"Unknown")</f>
        <v/>
      </c>
      <c r="I49" s="64">
        <f>IFERROR(NETWORKDAYS(DATEVALUE("2025-11-14"),DATEVALUE("2025-11-17")),"N/A")</f>
        <v/>
      </c>
    </row>
    <row r="50" ht="15" customHeight="1" s="52">
      <c r="B50" s="62" t="n">
        <v>100044</v>
      </c>
      <c r="C50" s="62" t="inlineStr">
        <is>
          <t>Pacific Northwest</t>
        </is>
      </c>
      <c r="D50" s="62">
        <f>IFERROR(PROPER(TRIM(CLEAN(C50))),"Unknown")</f>
        <v/>
      </c>
      <c r="E50" s="62" t="inlineStr">
        <is>
          <t>Coastal Express</t>
        </is>
      </c>
      <c r="F50" s="62">
        <f>IFERROR(PROPER(TRIM(CLEAN(E50))),"Unknown")</f>
        <v/>
      </c>
      <c r="G50" s="62" t="inlineStr">
        <is>
          <t>Delivered</t>
        </is>
      </c>
      <c r="H50" s="62">
        <f>IFERROR(PROPER(TRIM(CLEAN(G50))),"Unknown")</f>
        <v/>
      </c>
      <c r="I50" s="64">
        <f>IFERROR(NETWORKDAYS(DATEVALUE("2025-11-05"),DATEVALUE("11/07/2025")),"N/A")</f>
        <v/>
      </c>
    </row>
    <row r="51" ht="15" customHeight="1" s="52">
      <c r="B51" s="62" t="n">
        <v>100045</v>
      </c>
      <c r="C51" s="62" t="inlineStr">
        <is>
          <t>Mid-Atlantic</t>
        </is>
      </c>
      <c r="D51" s="62">
        <f>IFERROR(PROPER(TRIM(CLEAN(C51))),"Unknown")</f>
        <v/>
      </c>
      <c r="E51" s="62" t="inlineStr">
        <is>
          <t>Apex Freight</t>
        </is>
      </c>
      <c r="F51" s="62">
        <f>IFERROR(PROPER(TRIM(CLEAN(E51))),"Unknown")</f>
        <v/>
      </c>
      <c r="G51" s="62" t="inlineStr">
        <is>
          <t>Delivered</t>
        </is>
      </c>
      <c r="H51" s="62">
        <f>IFERROR(PROPER(TRIM(CLEAN(G51))),"Unknown")</f>
        <v/>
      </c>
      <c r="I51" s="64">
        <f>IFERROR(NETWORKDAYS(DATEVALUE("2025-10-15"),DATEVALUE("2025-10-18")),"N/A")</f>
        <v/>
      </c>
    </row>
    <row r="52" ht="15" customHeight="1" s="52">
      <c r="B52" s="62" t="n">
        <v>100046</v>
      </c>
      <c r="C52" s="62" t="inlineStr">
        <is>
          <t>Mid-Atlantic</t>
        </is>
      </c>
      <c r="D52" s="62">
        <f>IFERROR(PROPER(TRIM(CLEAN(C52))),"Unknown")</f>
        <v/>
      </c>
      <c r="E52" s="62" t="inlineStr">
        <is>
          <t>Coastal Express</t>
        </is>
      </c>
      <c r="F52" s="62">
        <f>IFERROR(PROPER(TRIM(CLEAN(E52))),"Unknown")</f>
        <v/>
      </c>
      <c r="G52" s="62" t="inlineStr">
        <is>
          <t>Delivered</t>
        </is>
      </c>
      <c r="H52" s="62">
        <f>IFERROR(PROPER(TRIM(CLEAN(G52))),"Unknown")</f>
        <v/>
      </c>
      <c r="I52" s="64">
        <f>IFERROR(NETWORKDAYS(DATEVALUE("25-Nov-2025"),DATEVALUE("11/30/2025")),"N/A")</f>
        <v/>
      </c>
    </row>
    <row r="53" ht="15" customHeight="1" s="52">
      <c r="B53" s="62" t="n">
        <v>100047</v>
      </c>
      <c r="C53" s="62" t="inlineStr">
        <is>
          <t>Northeast</t>
        </is>
      </c>
      <c r="D53" s="62">
        <f>IFERROR(PROPER(TRIM(CLEAN(C53))),"Unknown")</f>
        <v/>
      </c>
      <c r="E53" s="62" t="inlineStr">
        <is>
          <t>Northline Logistics</t>
        </is>
      </c>
      <c r="F53" s="62">
        <f>IFERROR(PROPER(TRIM(CLEAN(E53))),"Unknown")</f>
        <v/>
      </c>
      <c r="G53" s="62" t="inlineStr">
        <is>
          <t>Failed - Carrier Delay</t>
        </is>
      </c>
      <c r="H53" s="62">
        <f>IFERROR(PROPER(TRIM(CLEAN(G53))),"Unknown")</f>
        <v/>
      </c>
      <c r="I53" s="64">
        <f>IFERROR(NETWORKDAYS(DATEVALUE("2025-11-16"),DATEVALUE("11/20/2025")),"N/A")</f>
        <v/>
      </c>
    </row>
    <row r="54" ht="15" customHeight="1" s="52">
      <c r="B54" s="62" t="n">
        <v>100048</v>
      </c>
      <c r="C54" s="62" t="inlineStr">
        <is>
          <t>MID-ATLANTIC</t>
        </is>
      </c>
      <c r="D54" s="62">
        <f>IFERROR(PROPER(TRIM(CLEAN(C54))),"Unknown")</f>
        <v/>
      </c>
      <c r="E54" s="62" t="inlineStr">
        <is>
          <t>APEX FREIGHT</t>
        </is>
      </c>
      <c r="F54" s="62">
        <f>IFERROR(PROPER(TRIM(CLEAN(E54))),"Unknown")</f>
        <v/>
      </c>
      <c r="G54" s="62" t="inlineStr">
        <is>
          <t>Delivered</t>
        </is>
      </c>
      <c r="H54" s="62">
        <f>IFERROR(PROPER(TRIM(CLEAN(G54))),"Unknown")</f>
        <v/>
      </c>
      <c r="I54" s="64">
        <f>IFERROR(NETWORKDAYS(DATEVALUE("2025-11-08"),DATEVALUE("11/13/2025")),"N/A")</f>
        <v/>
      </c>
    </row>
    <row r="55" ht="15" customHeight="1" s="52">
      <c r="B55" s="62" t="n">
        <v>100049</v>
      </c>
      <c r="C55" s="62" t="inlineStr">
        <is>
          <t>Midwest</t>
        </is>
      </c>
      <c r="D55" s="62">
        <f>IFERROR(PROPER(TRIM(CLEAN(C55))),"Unknown")</f>
        <v/>
      </c>
      <c r="E55" s="62" t="inlineStr">
        <is>
          <t>Northline Logistics</t>
        </is>
      </c>
      <c r="F55" s="62">
        <f>IFERROR(PROPER(TRIM(CLEAN(E55))),"Unknown")</f>
        <v/>
      </c>
      <c r="G55" s="62" t="inlineStr">
        <is>
          <t>Delivered</t>
        </is>
      </c>
      <c r="H55" s="62">
        <f>IFERROR(PROPER(TRIM(CLEAN(G55))),"Unknown")</f>
        <v/>
      </c>
      <c r="I55" s="64">
        <f>IFERROR(NETWORKDAYS(DATEVALUE("2025-11-23"),DATEVALUE("11/27/2025")),"N/A")</f>
        <v/>
      </c>
    </row>
    <row r="56" ht="15" customHeight="1" s="52">
      <c r="B56" s="62" t="n">
        <v>100050</v>
      </c>
      <c r="C56" s="62" t="inlineStr">
        <is>
          <t>West</t>
        </is>
      </c>
      <c r="D56" s="62">
        <f>IFERROR(PROPER(TRIM(CLEAN(C56))),"Unknown")</f>
        <v/>
      </c>
      <c r="E56" s="62" t="inlineStr">
        <is>
          <t>Coastal Express</t>
        </is>
      </c>
      <c r="F56" s="62">
        <f>IFERROR(PROPER(TRIM(CLEAN(E56))),"Unknown")</f>
        <v/>
      </c>
      <c r="G56" s="62" t="inlineStr">
        <is>
          <t>Delivered</t>
        </is>
      </c>
      <c r="H56" s="62">
        <f>IFERROR(PROPER(TRIM(CLEAN(G56))),"Unknown")</f>
        <v/>
      </c>
      <c r="I56" s="64">
        <f>IFERROR(NETWORKDAYS(DATEVALUE("2025-10-27"),DATEVALUE("10/31/2025")),"N/A")</f>
        <v/>
      </c>
    </row>
    <row r="57" ht="15" customHeight="1" s="52">
      <c r="B57" s="62" t="n">
        <v>100051</v>
      </c>
      <c r="C57" s="62" t="inlineStr">
        <is>
          <t>Southwest</t>
        </is>
      </c>
      <c r="D57" s="62">
        <f>IFERROR(PROPER(TRIM(CLEAN(C57))),"Unknown")</f>
        <v/>
      </c>
      <c r="E57" s="62" t="inlineStr">
        <is>
          <t>Summit Carriers</t>
        </is>
      </c>
      <c r="F57" s="62">
        <f>IFERROR(PROPER(TRIM(CLEAN(E57))),"Unknown")</f>
        <v/>
      </c>
      <c r="G57" s="62" t="inlineStr">
        <is>
          <t xml:space="preserve">  Delivered  </t>
        </is>
      </c>
      <c r="H57" s="62">
        <f>IFERROR(PROPER(TRIM(CLEAN(G57))),"Unknown")</f>
        <v/>
      </c>
      <c r="I57" s="64">
        <f>IFERROR(NETWORKDAYS(DATEVALUE("22-Oct-2025"),DATEVALUE("24-Oct-2025")),"N/A")</f>
        <v/>
      </c>
    </row>
    <row r="58" ht="15" customHeight="1" s="52">
      <c r="B58" s="62" t="n">
        <v>100052</v>
      </c>
      <c r="C58" s="62" t="inlineStr">
        <is>
          <t>West</t>
        </is>
      </c>
      <c r="D58" s="62">
        <f>IFERROR(PROPER(TRIM(CLEAN(C58))),"Unknown")</f>
        <v/>
      </c>
      <c r="E58" s="62" t="inlineStr">
        <is>
          <t>Northline Logistics</t>
        </is>
      </c>
      <c r="F58" s="62">
        <f>IFERROR(PROPER(TRIM(CLEAN(E58))),"Unknown")</f>
        <v/>
      </c>
      <c r="G58" s="62" t="inlineStr">
        <is>
          <t>Failed - Wrong Address</t>
        </is>
      </c>
      <c r="H58" s="62">
        <f>IFERROR(PROPER(TRIM(CLEAN(G58))),"Unknown")</f>
        <v/>
      </c>
      <c r="I58" s="64">
        <f>IFERROR(NETWORKDAYS(DATEVALUE("26-Oct-2025"),DATEVALUE("29-Oct-2025")),"N/A")</f>
        <v/>
      </c>
    </row>
    <row r="59" ht="15" customHeight="1" s="52">
      <c r="B59" s="62" t="n">
        <v>100053</v>
      </c>
      <c r="C59" s="62" t="inlineStr">
        <is>
          <t>Mountain</t>
        </is>
      </c>
      <c r="D59" s="62">
        <f>IFERROR(PROPER(TRIM(CLEAN(C59))),"Unknown")</f>
        <v/>
      </c>
      <c r="E59" s="62" t="inlineStr">
        <is>
          <t>Apex Freight</t>
        </is>
      </c>
      <c r="F59" s="62">
        <f>IFERROR(PROPER(TRIM(CLEAN(E59))),"Unknown")</f>
        <v/>
      </c>
      <c r="G59" s="62" t="inlineStr">
        <is>
          <t>Delivered</t>
        </is>
      </c>
      <c r="H59" s="62">
        <f>IFERROR(PROPER(TRIM(CLEAN(G59))),"Unknown")</f>
        <v/>
      </c>
      <c r="I59" s="64">
        <f>IFERROR(NETWORKDAYS(DATEVALUE("11/28/2025"),DATEVALUE("2025-12-02")),"N/A")</f>
        <v/>
      </c>
    </row>
    <row r="60" ht="15" customHeight="1" s="52">
      <c r="B60" s="62" t="n">
        <v>100054</v>
      </c>
      <c r="C60" s="62" t="inlineStr">
        <is>
          <t>Midwest</t>
        </is>
      </c>
      <c r="D60" s="62">
        <f>IFERROR(PROPER(TRIM(CLEAN(C60))),"Unknown")</f>
        <v/>
      </c>
      <c r="E60" s="62" t="inlineStr">
        <is>
          <t>Apex Freight</t>
        </is>
      </c>
      <c r="F60" s="62">
        <f>IFERROR(PROPER(TRIM(CLEAN(E60))),"Unknown")</f>
        <v/>
      </c>
      <c r="G60" s="62" t="inlineStr">
        <is>
          <t>Delivered</t>
        </is>
      </c>
      <c r="H60" s="62">
        <f>IFERROR(PROPER(TRIM(CLEAN(G60))),"Unknown")</f>
        <v/>
      </c>
      <c r="I60" s="64">
        <f>IFERROR(NETWORKDAYS(DATEVALUE("2025-10-14"),DATEVALUE("10/18/2025")),"N/A")</f>
        <v/>
      </c>
    </row>
    <row r="61" ht="15" customHeight="1" s="52">
      <c r="B61" s="62" t="n">
        <v>100055</v>
      </c>
      <c r="C61" s="62" t="inlineStr">
        <is>
          <t>Southeast</t>
        </is>
      </c>
      <c r="D61" s="62">
        <f>IFERROR(PROPER(TRIM(CLEAN(C61))),"Unknown")</f>
        <v/>
      </c>
      <c r="E61" s="62" t="inlineStr">
        <is>
          <t>Summit Carriers</t>
        </is>
      </c>
      <c r="F61" s="62">
        <f>IFERROR(PROPER(TRIM(CLEAN(E61))),"Unknown")</f>
        <v/>
      </c>
      <c r="G61" s="62" t="inlineStr">
        <is>
          <t>Delivered</t>
        </is>
      </c>
      <c r="H61" s="62">
        <f>IFERROR(PROPER(TRIM(CLEAN(G61))),"Unknown")</f>
        <v/>
      </c>
      <c r="I61" s="64">
        <f>IFERROR(NETWORKDAYS(DATEVALUE("10/18/2025"),DATEVALUE("2025-10-22")),"N/A")</f>
        <v/>
      </c>
    </row>
    <row r="62" ht="15" customHeight="1" s="52">
      <c r="B62" s="62" t="n">
        <v>100056</v>
      </c>
      <c r="C62" s="62" t="inlineStr">
        <is>
          <t>Pacific Northwest</t>
        </is>
      </c>
      <c r="D62" s="62">
        <f>IFERROR(PROPER(TRIM(CLEAN(C62))),"Unknown")</f>
        <v/>
      </c>
      <c r="E62" s="62" t="inlineStr">
        <is>
          <t>Summit Carriers</t>
        </is>
      </c>
      <c r="F62" s="62">
        <f>IFERROR(PROPER(TRIM(CLEAN(E62))),"Unknown")</f>
        <v/>
      </c>
      <c r="G62" s="62" t="inlineStr">
        <is>
          <t>Delivered</t>
        </is>
      </c>
      <c r="H62" s="62">
        <f>IFERROR(PROPER(TRIM(CLEAN(G62))),"Unknown")</f>
        <v/>
      </c>
      <c r="I62" s="64">
        <f>IFERROR(NETWORKDAYS(DATEVALUE("10/21/2025"),DATEVALUE("2025-10-25")),"N/A")</f>
        <v/>
      </c>
    </row>
    <row r="63" ht="15" customHeight="1" s="52">
      <c r="B63" s="62" t="n">
        <v>100057</v>
      </c>
      <c r="C63" s="62" t="inlineStr">
        <is>
          <t>Mountain</t>
        </is>
      </c>
      <c r="D63" s="62">
        <f>IFERROR(PROPER(TRIM(CLEAN(C63))),"Unknown")</f>
        <v/>
      </c>
      <c r="E63" s="62" t="inlineStr">
        <is>
          <t>Northline Logistics</t>
        </is>
      </c>
      <c r="F63" s="62">
        <f>IFERROR(PROPER(TRIM(CLEAN(E63))),"Unknown")</f>
        <v/>
      </c>
      <c r="G63" s="62" t="inlineStr">
        <is>
          <t xml:space="preserve">  Failed - Carrier Delay  </t>
        </is>
      </c>
      <c r="H63" s="62">
        <f>IFERROR(PROPER(TRIM(CLEAN(G63))),"Unknown")</f>
        <v/>
      </c>
      <c r="I63" s="64">
        <f>IFERROR(NETWORKDAYS(DATEVALUE("2025-11-05"),DATEVALUE("2025-11-09")),"N/A")</f>
        <v/>
      </c>
    </row>
    <row r="64" ht="15" customHeight="1" s="52">
      <c r="B64" s="62" t="n">
        <v>100058</v>
      </c>
      <c r="C64" s="62" t="inlineStr">
        <is>
          <t>Southwest</t>
        </is>
      </c>
      <c r="D64" s="62">
        <f>IFERROR(PROPER(TRIM(CLEAN(C64))),"Unknown")</f>
        <v/>
      </c>
      <c r="E64" s="62" t="inlineStr">
        <is>
          <t>Coastal Express</t>
        </is>
      </c>
      <c r="F64" s="62">
        <f>IFERROR(PROPER(TRIM(CLEAN(E64))),"Unknown")</f>
        <v/>
      </c>
      <c r="G64" s="62" t="inlineStr">
        <is>
          <t>Delivered</t>
        </is>
      </c>
      <c r="H64" s="62">
        <f>IFERROR(PROPER(TRIM(CLEAN(G64))),"Unknown")</f>
        <v/>
      </c>
      <c r="I64" s="64">
        <f>IFERROR(NETWORKDAYS(DATEVALUE("12-Nov-2025"),DATEVALUE("15-Nov-2025")),"N/A")</f>
        <v/>
      </c>
    </row>
    <row r="65" ht="15" customHeight="1" s="52">
      <c r="B65" s="62" t="n">
        <v>100059</v>
      </c>
      <c r="C65" s="62" t="inlineStr">
        <is>
          <t>Southwest</t>
        </is>
      </c>
      <c r="D65" s="62">
        <f>IFERROR(PROPER(TRIM(CLEAN(C65))),"Unknown")</f>
        <v/>
      </c>
      <c r="E65" s="62" t="inlineStr">
        <is>
          <t>Apex Freight</t>
        </is>
      </c>
      <c r="F65" s="62">
        <f>IFERROR(PROPER(TRIM(CLEAN(E65))),"Unknown")</f>
        <v/>
      </c>
      <c r="G65" s="62" t="inlineStr">
        <is>
          <t>Delivered</t>
        </is>
      </c>
      <c r="H65" s="62">
        <f>IFERROR(PROPER(TRIM(CLEAN(G65))),"Unknown")</f>
        <v/>
      </c>
      <c r="I65" s="64">
        <f>IFERROR(NETWORKDAYS(DATEVALUE("11/23/2025"),DATEVALUE("11/27/2025")),"N/A")</f>
        <v/>
      </c>
    </row>
    <row r="66" ht="15" customHeight="1" s="52">
      <c r="B66" s="62" t="n">
        <v>100060</v>
      </c>
      <c r="C66" s="62" t="inlineStr">
        <is>
          <t>Pacific Northwest</t>
        </is>
      </c>
      <c r="D66" s="62">
        <f>IFERROR(PROPER(TRIM(CLEAN(C66))),"Unknown")</f>
        <v/>
      </c>
      <c r="E66" s="62" t="inlineStr">
        <is>
          <t>Apex Freight</t>
        </is>
      </c>
      <c r="F66" s="62">
        <f>IFERROR(PROPER(TRIM(CLEAN(E66))),"Unknown")</f>
        <v/>
      </c>
      <c r="G66" s="62" t="inlineStr">
        <is>
          <t>Delivered</t>
        </is>
      </c>
      <c r="H66" s="62">
        <f>IFERROR(PROPER(TRIM(CLEAN(G66))),"Unknown")</f>
        <v/>
      </c>
      <c r="I66" s="64">
        <f>IFERROR(NETWORKDAYS(DATEVALUE("12/13/2025"),DATEVALUE("2025-12-17")),"N/A")</f>
        <v/>
      </c>
    </row>
    <row r="67" ht="15" customHeight="1" s="52">
      <c r="B67" s="62" t="n">
        <v>100061</v>
      </c>
      <c r="C67" s="62" t="inlineStr">
        <is>
          <t xml:space="preserve">  Southwest  </t>
        </is>
      </c>
      <c r="D67" s="62">
        <f>IFERROR(PROPER(TRIM(CLEAN(C67))),"Unknown")</f>
        <v/>
      </c>
      <c r="E67" s="62" t="inlineStr">
        <is>
          <t>Summit Carriers</t>
        </is>
      </c>
      <c r="F67" s="62">
        <f>IFERROR(PROPER(TRIM(CLEAN(E67))),"Unknown")</f>
        <v/>
      </c>
      <c r="G67" s="62" t="inlineStr">
        <is>
          <t>Delivered - Late</t>
        </is>
      </c>
      <c r="H67" s="62">
        <f>IFERROR(PROPER(TRIM(CLEAN(G67))),"Unknown")</f>
        <v/>
      </c>
      <c r="I67" s="64">
        <f>IFERROR(NETWORKDAYS(DATEVALUE("2025-10-29"),DATEVALUE("11/01/2025")),"N/A")</f>
        <v/>
      </c>
    </row>
    <row r="68" ht="15" customHeight="1" s="52">
      <c r="B68" s="62" t="n">
        <v>100062</v>
      </c>
      <c r="C68" s="62" t="inlineStr">
        <is>
          <t>Midwest</t>
        </is>
      </c>
      <c r="D68" s="62">
        <f>IFERROR(PROPER(TRIM(CLEAN(C68))),"Unknown")</f>
        <v/>
      </c>
      <c r="E68" s="62" t="inlineStr">
        <is>
          <t>Summit Carriers</t>
        </is>
      </c>
      <c r="F68" s="62">
        <f>IFERROR(PROPER(TRIM(CLEAN(E68))),"Unknown")</f>
        <v/>
      </c>
      <c r="G68" s="62" t="inlineStr">
        <is>
          <t>Delivered</t>
        </is>
      </c>
      <c r="H68" s="62">
        <f>IFERROR(PROPER(TRIM(CLEAN(G68))),"Unknown")</f>
        <v/>
      </c>
      <c r="I68" s="64">
        <f>IFERROR(NETWORKDAYS(DATEVALUE("2025-10-17"),DATEVALUE("2025-10-22")),"N/A")</f>
        <v/>
      </c>
    </row>
    <row r="69" ht="15" customHeight="1" s="52">
      <c r="B69" s="62" t="n">
        <v>100063</v>
      </c>
      <c r="C69" s="62" t="inlineStr">
        <is>
          <t>Midwest</t>
        </is>
      </c>
      <c r="D69" s="62">
        <f>IFERROR(PROPER(TRIM(CLEAN(C69))),"Unknown")</f>
        <v/>
      </c>
      <c r="E69" s="62" t="inlineStr">
        <is>
          <t>Summit Carriers</t>
        </is>
      </c>
      <c r="F69" s="62">
        <f>IFERROR(PROPER(TRIM(CLEAN(E69))),"Unknown")</f>
        <v/>
      </c>
      <c r="G69" s="62" t="inlineStr">
        <is>
          <t>Delivered</t>
        </is>
      </c>
      <c r="H69" s="62">
        <f>IFERROR(PROPER(TRIM(CLEAN(G69))),"Unknown")</f>
        <v/>
      </c>
      <c r="I69" s="64">
        <f>IFERROR(NETWORKDAYS(DATEVALUE("24-Oct-2025"),DATEVALUE("2025-10-26")),"N/A")</f>
        <v/>
      </c>
    </row>
    <row r="70" ht="15" customHeight="1" s="52">
      <c r="B70" s="62" t="n">
        <v>100064</v>
      </c>
      <c r="C70" s="62" t="inlineStr">
        <is>
          <t>West</t>
        </is>
      </c>
      <c r="D70" s="62">
        <f>IFERROR(PROPER(TRIM(CLEAN(C70))),"Unknown")</f>
        <v/>
      </c>
      <c r="E70" s="62" t="inlineStr">
        <is>
          <t>Summit Carriers</t>
        </is>
      </c>
      <c r="F70" s="62">
        <f>IFERROR(PROPER(TRIM(CLEAN(E70))),"Unknown")</f>
        <v/>
      </c>
      <c r="G70" s="62" t="inlineStr">
        <is>
          <t>Delivered</t>
        </is>
      </c>
      <c r="H70" s="62">
        <f>IFERROR(PROPER(TRIM(CLEAN(G70))),"Unknown")</f>
        <v/>
      </c>
      <c r="I70" s="64">
        <f>IFERROR(NETWORKDAYS(DATEVALUE("2025-11-02"),DATEVALUE("2025-11-04")),"N/A")</f>
        <v/>
      </c>
    </row>
    <row r="71" ht="15" customHeight="1" s="52">
      <c r="B71" s="62" t="n">
        <v>100065</v>
      </c>
      <c r="C71" s="62" t="inlineStr">
        <is>
          <t>Southwest</t>
        </is>
      </c>
      <c r="D71" s="62">
        <f>IFERROR(PROPER(TRIM(CLEAN(C71))),"Unknown")</f>
        <v/>
      </c>
      <c r="E71" s="62" t="inlineStr">
        <is>
          <t>Apex Freight</t>
        </is>
      </c>
      <c r="F71" s="62">
        <f>IFERROR(PROPER(TRIM(CLEAN(E71))),"Unknown")</f>
        <v/>
      </c>
      <c r="G71" s="62" t="inlineStr">
        <is>
          <t>Delivered</t>
        </is>
      </c>
      <c r="H71" s="62">
        <f>IFERROR(PROPER(TRIM(CLEAN(G71))),"Unknown")</f>
        <v/>
      </c>
      <c r="I71" s="64">
        <f>IFERROR(NETWORKDAYS(DATEVALUE("23-Dec-2025"),DATEVALUE("2025-12-25")),"N/A")</f>
        <v/>
      </c>
    </row>
    <row r="72" ht="15" customHeight="1" s="52">
      <c r="B72" s="62" t="n">
        <v>100066</v>
      </c>
      <c r="C72" s="62" t="inlineStr">
        <is>
          <t xml:space="preserve">  Southwest  </t>
        </is>
      </c>
      <c r="D72" s="62">
        <f>IFERROR(PROPER(TRIM(CLEAN(C72))),"Unknown")</f>
        <v/>
      </c>
      <c r="E72" s="62" t="inlineStr">
        <is>
          <t>Northline Logistics</t>
        </is>
      </c>
      <c r="F72" s="62">
        <f>IFERROR(PROPER(TRIM(CLEAN(E72))),"Unknown")</f>
        <v/>
      </c>
      <c r="G72" s="62" t="inlineStr">
        <is>
          <t>Delivered</t>
        </is>
      </c>
      <c r="H72" s="62">
        <f>IFERROR(PROPER(TRIM(CLEAN(G72))),"Unknown")</f>
        <v/>
      </c>
      <c r="I72" s="64">
        <f>IFERROR(NETWORKDAYS(DATEVALUE("30-Nov-2025"),DATEVALUE("2025-12-02")),"N/A")</f>
        <v/>
      </c>
    </row>
    <row r="73" ht="15" customHeight="1" s="52">
      <c r="B73" s="62" t="n">
        <v>100067</v>
      </c>
      <c r="C73" s="62" t="inlineStr">
        <is>
          <t>Southeast</t>
        </is>
      </c>
      <c r="D73" s="62">
        <f>IFERROR(PROPER(TRIM(CLEAN(C73))),"Unknown")</f>
        <v/>
      </c>
      <c r="E73" s="62" t="inlineStr">
        <is>
          <t>Northline Logistics</t>
        </is>
      </c>
      <c r="F73" s="62">
        <f>IFERROR(PROPER(TRIM(CLEAN(E73))),"Unknown")</f>
        <v/>
      </c>
      <c r="G73" s="62" t="inlineStr">
        <is>
          <t>Delivered</t>
        </is>
      </c>
      <c r="H73" s="62">
        <f>IFERROR(PROPER(TRIM(CLEAN(G73))),"Unknown")</f>
        <v/>
      </c>
      <c r="I73" s="64">
        <f>IFERROR(NETWORKDAYS(DATEVALUE("2025-11-09"),DATEVALUE("11/11/2025")),"N/A")</f>
        <v/>
      </c>
    </row>
    <row r="74" ht="15" customHeight="1" s="52">
      <c r="B74" s="62" t="n">
        <v>100068</v>
      </c>
      <c r="C74" s="62" t="inlineStr">
        <is>
          <t>Southeast</t>
        </is>
      </c>
      <c r="D74" s="62">
        <f>IFERROR(PROPER(TRIM(CLEAN(C74))),"Unknown")</f>
        <v/>
      </c>
      <c r="E74" s="62" t="inlineStr">
        <is>
          <t>Northline Logistics</t>
        </is>
      </c>
      <c r="F74" s="62">
        <f>IFERROR(PROPER(TRIM(CLEAN(E74))),"Unknown")</f>
        <v/>
      </c>
      <c r="G74" s="62" t="inlineStr">
        <is>
          <t>Delivered</t>
        </is>
      </c>
      <c r="H74" s="62">
        <f>IFERROR(PROPER(TRIM(CLEAN(G74))),"Unknown")</f>
        <v/>
      </c>
      <c r="I74" s="64">
        <f>IFERROR(NETWORKDAYS(DATEVALUE("14-Oct-2025"),DATEVALUE("10/17/2025")),"N/A")</f>
        <v/>
      </c>
    </row>
    <row r="75" ht="15" customHeight="1" s="52">
      <c r="B75" s="62" t="n">
        <v>100069</v>
      </c>
      <c r="C75" s="62" t="inlineStr">
        <is>
          <t>Northeast</t>
        </is>
      </c>
      <c r="D75" s="62">
        <f>IFERROR(PROPER(TRIM(CLEAN(C75))),"Unknown")</f>
        <v/>
      </c>
      <c r="E75" s="62" t="inlineStr">
        <is>
          <t>Coastal Express</t>
        </is>
      </c>
      <c r="F75" s="62">
        <f>IFERROR(PROPER(TRIM(CLEAN(E75))),"Unknown")</f>
        <v/>
      </c>
      <c r="G75" s="62" t="inlineStr">
        <is>
          <t>delivered</t>
        </is>
      </c>
      <c r="H75" s="62">
        <f>IFERROR(PROPER(TRIM(CLEAN(G75))),"Unknown")</f>
        <v/>
      </c>
      <c r="I75" s="64">
        <f>IFERROR(NETWORKDAYS(DATEVALUE("08-Dec-2025"),DATEVALUE("12-Dec-2025")),"N/A")</f>
        <v/>
      </c>
    </row>
    <row r="76" ht="15" customHeight="1" s="52">
      <c r="B76" s="62" t="n">
        <v>100070</v>
      </c>
      <c r="C76" s="62" t="inlineStr">
        <is>
          <t>MOUNTAIN</t>
        </is>
      </c>
      <c r="D76" s="62">
        <f>IFERROR(PROPER(TRIM(CLEAN(C76))),"Unknown")</f>
        <v/>
      </c>
      <c r="E76" s="62" t="inlineStr">
        <is>
          <t>Apex Freight</t>
        </is>
      </c>
      <c r="F76" s="62">
        <f>IFERROR(PROPER(TRIM(CLEAN(E76))),"Unknown")</f>
        <v/>
      </c>
      <c r="G76" s="62" t="inlineStr">
        <is>
          <t>Delivered</t>
        </is>
      </c>
      <c r="H76" s="62">
        <f>IFERROR(PROPER(TRIM(CLEAN(G76))),"Unknown")</f>
        <v/>
      </c>
      <c r="I76" s="64">
        <f>IFERROR(NETWORKDAYS(DATEVALUE("2025-11-25"),DATEVALUE("11/28/2025")),"N/A")</f>
        <v/>
      </c>
    </row>
    <row r="77" ht="15" customHeight="1" s="52">
      <c r="B77" s="62" t="n">
        <v>100071</v>
      </c>
      <c r="C77" s="62" t="inlineStr">
        <is>
          <t>west</t>
        </is>
      </c>
      <c r="D77" s="62">
        <f>IFERROR(PROPER(TRIM(CLEAN(C77))),"Unknown")</f>
        <v/>
      </c>
      <c r="E77" s="62" t="inlineStr">
        <is>
          <t xml:space="preserve">  Summit Carriers  </t>
        </is>
      </c>
      <c r="F77" s="62">
        <f>IFERROR(PROPER(TRIM(CLEAN(E77))),"Unknown")</f>
        <v/>
      </c>
      <c r="G77" s="62" t="inlineStr">
        <is>
          <t>Delivered</t>
        </is>
      </c>
      <c r="H77" s="62">
        <f>IFERROR(PROPER(TRIM(CLEAN(G77))),"Unknown")</f>
        <v/>
      </c>
      <c r="I77" s="64">
        <f>IFERROR(NETWORKDAYS(DATEVALUE("29-Nov-2025"),DATEVALUE("03-Dec-2025")),"N/A")</f>
        <v/>
      </c>
    </row>
    <row r="78" ht="15" customHeight="1" s="52">
      <c r="B78" s="62" t="n">
        <v>100072</v>
      </c>
      <c r="C78" s="62" t="inlineStr">
        <is>
          <t>West</t>
        </is>
      </c>
      <c r="D78" s="62">
        <f>IFERROR(PROPER(TRIM(CLEAN(C78))),"Unknown")</f>
        <v/>
      </c>
      <c r="E78" s="62" t="inlineStr">
        <is>
          <t xml:space="preserve">  Summit Carriers  </t>
        </is>
      </c>
      <c r="F78" s="62">
        <f>IFERROR(PROPER(TRIM(CLEAN(E78))),"Unknown")</f>
        <v/>
      </c>
      <c r="G78" s="62" t="inlineStr">
        <is>
          <t>Delivered</t>
        </is>
      </c>
      <c r="H78" s="62">
        <f>IFERROR(PROPER(TRIM(CLEAN(G78))),"Unknown")</f>
        <v/>
      </c>
      <c r="I78" s="64">
        <f>IFERROR(NETWORKDAYS(DATEVALUE("11/01/2025"),DATEVALUE("05-Nov-2025")),"N/A")</f>
        <v/>
      </c>
    </row>
    <row r="79" ht="15" customHeight="1" s="52">
      <c r="B79" s="62" t="n">
        <v>100073</v>
      </c>
      <c r="C79" s="62" t="inlineStr">
        <is>
          <t>Midwest</t>
        </is>
      </c>
      <c r="D79" s="62">
        <f>IFERROR(PROPER(TRIM(CLEAN(C79))),"Unknown")</f>
        <v/>
      </c>
      <c r="E79" s="62" t="inlineStr">
        <is>
          <t>Summit Carriers</t>
        </is>
      </c>
      <c r="F79" s="62">
        <f>IFERROR(PROPER(TRIM(CLEAN(E79))),"Unknown")</f>
        <v/>
      </c>
      <c r="G79" s="62" t="inlineStr">
        <is>
          <t>Delivered</t>
        </is>
      </c>
      <c r="H79" s="62">
        <f>IFERROR(PROPER(TRIM(CLEAN(G79))),"Unknown")</f>
        <v/>
      </c>
      <c r="I79" s="64">
        <f>IFERROR(NETWORKDAYS(DATEVALUE("28-Oct-2025"),DATEVALUE("10/31/2025")),"N/A")</f>
        <v/>
      </c>
    </row>
    <row r="80" ht="15" customHeight="1" s="52">
      <c r="B80" s="62" t="n">
        <v>100074</v>
      </c>
      <c r="C80" s="62" t="inlineStr">
        <is>
          <t>Southwest</t>
        </is>
      </c>
      <c r="D80" s="62">
        <f>IFERROR(PROPER(TRIM(CLEAN(C80))),"Unknown")</f>
        <v/>
      </c>
      <c r="E80" s="62" t="inlineStr">
        <is>
          <t>Apex Freight</t>
        </is>
      </c>
      <c r="F80" s="62">
        <f>IFERROR(PROPER(TRIM(CLEAN(E80))),"Unknown")</f>
        <v/>
      </c>
      <c r="G80" s="62" t="inlineStr">
        <is>
          <t>DELIVERED</t>
        </is>
      </c>
      <c r="H80" s="62">
        <f>IFERROR(PROPER(TRIM(CLEAN(G80))),"Unknown")</f>
        <v/>
      </c>
      <c r="I80" s="64">
        <f>IFERROR(NETWORKDAYS(DATEVALUE("2025-10-31"),DATEVALUE("2025-11-04")),"N/A")</f>
        <v/>
      </c>
    </row>
    <row r="81" ht="15" customHeight="1" s="52">
      <c r="B81" s="62" t="n">
        <v>100075</v>
      </c>
      <c r="C81" s="62" t="inlineStr">
        <is>
          <t>Mountain</t>
        </is>
      </c>
      <c r="D81" s="62">
        <f>IFERROR(PROPER(TRIM(CLEAN(C81))),"Unknown")</f>
        <v/>
      </c>
      <c r="E81" s="62" t="inlineStr">
        <is>
          <t xml:space="preserve">  Apex Freight  </t>
        </is>
      </c>
      <c r="F81" s="62">
        <f>IFERROR(PROPER(TRIM(CLEAN(E81))),"Unknown")</f>
        <v/>
      </c>
      <c r="G81" s="62" t="inlineStr">
        <is>
          <t>Delivered</t>
        </is>
      </c>
      <c r="H81" s="62">
        <f>IFERROR(PROPER(TRIM(CLEAN(G81))),"Unknown")</f>
        <v/>
      </c>
      <c r="I81" s="64">
        <f>IFERROR(NETWORKDAYS(DATEVALUE("2025-10-12"),DATEVALUE("2025-10-15")),"N/A")</f>
        <v/>
      </c>
    </row>
    <row r="82" ht="15" customHeight="1" s="52">
      <c r="B82" s="62" t="n">
        <v>100076</v>
      </c>
      <c r="C82" s="62" t="inlineStr">
        <is>
          <t>Mountain</t>
        </is>
      </c>
      <c r="D82" s="62">
        <f>IFERROR(PROPER(TRIM(CLEAN(C82))),"Unknown")</f>
        <v/>
      </c>
      <c r="E82" s="62" t="inlineStr">
        <is>
          <t>Coastal Express</t>
        </is>
      </c>
      <c r="F82" s="62">
        <f>IFERROR(PROPER(TRIM(CLEAN(E82))),"Unknown")</f>
        <v/>
      </c>
      <c r="G82" s="62" t="inlineStr">
        <is>
          <t>Delivered</t>
        </is>
      </c>
      <c r="H82" s="62">
        <f>IFERROR(PROPER(TRIM(CLEAN(G82))),"Unknown")</f>
        <v/>
      </c>
      <c r="I82" s="64">
        <f>IFERROR(NETWORKDAYS(DATEVALUE("24-Nov-2025"),DATEVALUE("29-Nov-2025")),"N/A")</f>
        <v/>
      </c>
    </row>
    <row r="83" ht="15" customHeight="1" s="52">
      <c r="B83" s="62" t="n">
        <v>100077</v>
      </c>
      <c r="C83" s="62" t="inlineStr">
        <is>
          <t>Southeast</t>
        </is>
      </c>
      <c r="D83" s="62">
        <f>IFERROR(PROPER(TRIM(CLEAN(C83))),"Unknown")</f>
        <v/>
      </c>
      <c r="E83" s="62" t="inlineStr">
        <is>
          <t>Northline Logistics</t>
        </is>
      </c>
      <c r="F83" s="62">
        <f>IFERROR(PROPER(TRIM(CLEAN(E83))),"Unknown")</f>
        <v/>
      </c>
      <c r="G83" s="62" t="inlineStr">
        <is>
          <t>DELIVERED</t>
        </is>
      </c>
      <c r="H83" s="62">
        <f>IFERROR(PROPER(TRIM(CLEAN(G83))),"Unknown")</f>
        <v/>
      </c>
      <c r="I83" s="64">
        <f>IFERROR(NETWORKDAYS(DATEVALUE("11/10/2025"),DATEVALUE("2025-11-12")),"N/A")</f>
        <v/>
      </c>
    </row>
    <row r="84" ht="15" customHeight="1" s="52">
      <c r="B84" s="62" t="n">
        <v>100078</v>
      </c>
      <c r="C84" s="62" t="inlineStr">
        <is>
          <t>West</t>
        </is>
      </c>
      <c r="D84" s="62">
        <f>IFERROR(PROPER(TRIM(CLEAN(C84))),"Unknown")</f>
        <v/>
      </c>
      <c r="E84" s="62" t="inlineStr">
        <is>
          <t xml:space="preserve">  Coastal Express  </t>
        </is>
      </c>
      <c r="F84" s="62">
        <f>IFERROR(PROPER(TRIM(CLEAN(E84))),"Unknown")</f>
        <v/>
      </c>
      <c r="G84" s="62" t="inlineStr">
        <is>
          <t>Delivered</t>
        </is>
      </c>
      <c r="H84" s="62">
        <f>IFERROR(PROPER(TRIM(CLEAN(G84))),"Unknown")</f>
        <v/>
      </c>
      <c r="I84" s="64">
        <f>IFERROR(NETWORKDAYS(DATEVALUE("10/13/2025"),DATEVALUE("16-Oct-2025")),"N/A")</f>
        <v/>
      </c>
    </row>
    <row r="85" ht="15" customHeight="1" s="52">
      <c r="B85" s="62" t="n">
        <v>100079</v>
      </c>
      <c r="C85" s="62" t="inlineStr">
        <is>
          <t>midwest</t>
        </is>
      </c>
      <c r="D85" s="62">
        <f>IFERROR(PROPER(TRIM(CLEAN(C85))),"Unknown")</f>
        <v/>
      </c>
      <c r="E85" s="62" t="inlineStr">
        <is>
          <t>Coastal Express</t>
        </is>
      </c>
      <c r="F85" s="62">
        <f>IFERROR(PROPER(TRIM(CLEAN(E85))),"Unknown")</f>
        <v/>
      </c>
      <c r="G85" s="62" t="inlineStr">
        <is>
          <t>Delivered</t>
        </is>
      </c>
      <c r="H85" s="62">
        <f>IFERROR(PROPER(TRIM(CLEAN(G85))),"Unknown")</f>
        <v/>
      </c>
      <c r="I85" s="64">
        <f>IFERROR(NETWORKDAYS(DATEVALUE("2025-10-06"),DATEVALUE("08-Oct-2025")),"N/A")</f>
        <v/>
      </c>
    </row>
    <row r="86" ht="15" customHeight="1" s="52">
      <c r="B86" s="62" t="n">
        <v>100080</v>
      </c>
      <c r="C86" s="62" t="inlineStr">
        <is>
          <t>Southeast</t>
        </is>
      </c>
      <c r="D86" s="62">
        <f>IFERROR(PROPER(TRIM(CLEAN(C86))),"Unknown")</f>
        <v/>
      </c>
      <c r="E86" s="62" t="inlineStr">
        <is>
          <t>Apex Freight</t>
        </is>
      </c>
      <c r="F86" s="62">
        <f>IFERROR(PROPER(TRIM(CLEAN(E86))),"Unknown")</f>
        <v/>
      </c>
      <c r="G86" s="62" t="inlineStr">
        <is>
          <t>Delivered</t>
        </is>
      </c>
      <c r="H86" s="62">
        <f>IFERROR(PROPER(TRIM(CLEAN(G86))),"Unknown")</f>
        <v/>
      </c>
      <c r="I86" s="64">
        <f>IFERROR(NETWORKDAYS(DATEVALUE("12/13/2025"),DATEVALUE("16-Dec-2025")),"N/A")</f>
        <v/>
      </c>
    </row>
    <row r="87" ht="15" customHeight="1" s="52">
      <c r="B87" s="62" t="n">
        <v>100081</v>
      </c>
      <c r="C87" s="62" t="inlineStr">
        <is>
          <t>Mountain</t>
        </is>
      </c>
      <c r="D87" s="62">
        <f>IFERROR(PROPER(TRIM(CLEAN(C87))),"Unknown")</f>
        <v/>
      </c>
      <c r="E87" s="62" t="inlineStr">
        <is>
          <t>Apex Freight</t>
        </is>
      </c>
      <c r="F87" s="62">
        <f>IFERROR(PROPER(TRIM(CLEAN(E87))),"Unknown")</f>
        <v/>
      </c>
      <c r="G87" s="62" t="inlineStr">
        <is>
          <t>Delivered</t>
        </is>
      </c>
      <c r="H87" s="62">
        <f>IFERROR(PROPER(TRIM(CLEAN(G87))),"Unknown")</f>
        <v/>
      </c>
      <c r="I87" s="64">
        <f>IFERROR(NETWORKDAYS(DATEVALUE("2025-10-09"),DATEVALUE("13-Oct-2025")),"N/A")</f>
        <v/>
      </c>
    </row>
    <row r="88" ht="15" customHeight="1" s="52">
      <c r="B88" s="62" t="n">
        <v>100082</v>
      </c>
      <c r="C88" s="62" t="inlineStr">
        <is>
          <t>West</t>
        </is>
      </c>
      <c r="D88" s="62">
        <f>IFERROR(PROPER(TRIM(CLEAN(C88))),"Unknown")</f>
        <v/>
      </c>
      <c r="E88" s="62" t="inlineStr">
        <is>
          <t>Apex Freight</t>
        </is>
      </c>
      <c r="F88" s="62">
        <f>IFERROR(PROPER(TRIM(CLEAN(E88))),"Unknown")</f>
        <v/>
      </c>
      <c r="G88" s="62" t="inlineStr">
        <is>
          <t>Delivered</t>
        </is>
      </c>
      <c r="H88" s="62">
        <f>IFERROR(PROPER(TRIM(CLEAN(G88))),"Unknown")</f>
        <v/>
      </c>
      <c r="I88" s="64">
        <f>IFERROR(NETWORKDAYS(DATEVALUE("01-Nov-2025"),DATEVALUE("2025-11-03")),"N/A")</f>
        <v/>
      </c>
    </row>
    <row r="89" ht="15" customHeight="1" s="52">
      <c r="B89" s="62" t="n">
        <v>100083</v>
      </c>
      <c r="C89" s="62" t="inlineStr">
        <is>
          <t>MOUNTAIN</t>
        </is>
      </c>
      <c r="D89" s="62">
        <f>IFERROR(PROPER(TRIM(CLEAN(C89))),"Unknown")</f>
        <v/>
      </c>
      <c r="E89" s="62" t="inlineStr">
        <is>
          <t>Summit Carriers</t>
        </is>
      </c>
      <c r="F89" s="62">
        <f>IFERROR(PROPER(TRIM(CLEAN(E89))),"Unknown")</f>
        <v/>
      </c>
      <c r="G89" s="62" t="inlineStr">
        <is>
          <t>Delivered</t>
        </is>
      </c>
      <c r="H89" s="62">
        <f>IFERROR(PROPER(TRIM(CLEAN(G89))),"Unknown")</f>
        <v/>
      </c>
      <c r="I89" s="64">
        <f>IFERROR(NETWORKDAYS(DATEVALUE("08-Nov-2025"),DATEVALUE("11/13/2025")),"N/A")</f>
        <v/>
      </c>
    </row>
    <row r="90" ht="15" customHeight="1" s="52">
      <c r="B90" s="62" t="n">
        <v>100084</v>
      </c>
      <c r="C90" s="62" t="inlineStr">
        <is>
          <t>Southwest</t>
        </is>
      </c>
      <c r="D90" s="62">
        <f>IFERROR(PROPER(TRIM(CLEAN(C90))),"Unknown")</f>
        <v/>
      </c>
      <c r="E90" s="62" t="inlineStr">
        <is>
          <t>Northline Logistics</t>
        </is>
      </c>
      <c r="F90" s="62">
        <f>IFERROR(PROPER(TRIM(CLEAN(E90))),"Unknown")</f>
        <v/>
      </c>
      <c r="G90" s="62" t="inlineStr">
        <is>
          <t>Failed - Carrier Delay</t>
        </is>
      </c>
      <c r="H90" s="62">
        <f>IFERROR(PROPER(TRIM(CLEAN(G90))),"Unknown")</f>
        <v/>
      </c>
      <c r="I90" s="64">
        <f>IFERROR(NETWORKDAYS(DATEVALUE("03-Nov-2025"),DATEVALUE("05-Nov-2025")),"N/A")</f>
        <v/>
      </c>
    </row>
    <row r="91" ht="15" customHeight="1" s="52">
      <c r="B91" s="62" t="n">
        <v>100085</v>
      </c>
      <c r="C91" s="62" t="inlineStr">
        <is>
          <t>Southeast</t>
        </is>
      </c>
      <c r="D91" s="62">
        <f>IFERROR(PROPER(TRIM(CLEAN(C91))),"Unknown")</f>
        <v/>
      </c>
      <c r="E91" s="62" t="inlineStr">
        <is>
          <t>Northline Logistics</t>
        </is>
      </c>
      <c r="F91" s="62">
        <f>IFERROR(PROPER(TRIM(CLEAN(E91))),"Unknown")</f>
        <v/>
      </c>
      <c r="G91" s="62" t="inlineStr">
        <is>
          <t>DELIVERED</t>
        </is>
      </c>
      <c r="H91" s="62">
        <f>IFERROR(PROPER(TRIM(CLEAN(G91))),"Unknown")</f>
        <v/>
      </c>
      <c r="I91" s="64">
        <f>IFERROR(NETWORKDAYS(DATEVALUE("10/01/2025"),DATEVALUE("2025-10-05")),"N/A")</f>
        <v/>
      </c>
    </row>
    <row r="92" ht="15" customHeight="1" s="52">
      <c r="B92" s="62" t="n">
        <v>100086</v>
      </c>
      <c r="C92" s="62" t="inlineStr">
        <is>
          <t>West</t>
        </is>
      </c>
      <c r="D92" s="62">
        <f>IFERROR(PROPER(TRIM(CLEAN(C92))),"Unknown")</f>
        <v/>
      </c>
      <c r="E92" s="62" t="inlineStr">
        <is>
          <t>Summit Carriers</t>
        </is>
      </c>
      <c r="F92" s="62">
        <f>IFERROR(PROPER(TRIM(CLEAN(E92))),"Unknown")</f>
        <v/>
      </c>
      <c r="G92" s="62" t="inlineStr">
        <is>
          <t>Delivered</t>
        </is>
      </c>
      <c r="H92" s="62">
        <f>IFERROR(PROPER(TRIM(CLEAN(G92))),"Unknown")</f>
        <v/>
      </c>
      <c r="I92" s="64">
        <f>IFERROR(NETWORKDAYS(DATEVALUE("10-Oct-2025"),DATEVALUE("10/13/2025")),"N/A")</f>
        <v/>
      </c>
    </row>
    <row r="93" ht="15" customHeight="1" s="52">
      <c r="B93" s="62" t="n">
        <v>100087</v>
      </c>
      <c r="C93" s="62" t="inlineStr">
        <is>
          <t>Southwest</t>
        </is>
      </c>
      <c r="D93" s="62">
        <f>IFERROR(PROPER(TRIM(CLEAN(C93))),"Unknown")</f>
        <v/>
      </c>
      <c r="E93" s="62" t="inlineStr">
        <is>
          <t>Northline Logistics</t>
        </is>
      </c>
      <c r="F93" s="62">
        <f>IFERROR(PROPER(TRIM(CLEAN(E93))),"Unknown")</f>
        <v/>
      </c>
      <c r="G93" s="62" t="inlineStr">
        <is>
          <t>Failed - Carrier Delay</t>
        </is>
      </c>
      <c r="H93" s="62">
        <f>IFERROR(PROPER(TRIM(CLEAN(G93))),"Unknown")</f>
        <v/>
      </c>
      <c r="I93" s="64">
        <f>IFERROR(NETWORKDAYS(DATEVALUE("04-Nov-2025"),DATEVALUE("07-Nov-2025")),"N/A")</f>
        <v/>
      </c>
    </row>
    <row r="94" ht="15" customHeight="1" s="52">
      <c r="B94" s="62" t="n">
        <v>100088</v>
      </c>
      <c r="C94" s="62" t="inlineStr">
        <is>
          <t>West</t>
        </is>
      </c>
      <c r="D94" s="62">
        <f>IFERROR(PROPER(TRIM(CLEAN(C94))),"Unknown")</f>
        <v/>
      </c>
      <c r="E94" s="62" t="inlineStr">
        <is>
          <t>Coastal Express</t>
        </is>
      </c>
      <c r="F94" s="62">
        <f>IFERROR(PROPER(TRIM(CLEAN(E94))),"Unknown")</f>
        <v/>
      </c>
      <c r="G94" s="62" t="inlineStr">
        <is>
          <t>Delivered</t>
        </is>
      </c>
      <c r="H94" s="62">
        <f>IFERROR(PROPER(TRIM(CLEAN(G94))),"Unknown")</f>
        <v/>
      </c>
      <c r="I94" s="64">
        <f>IFERROR(NETWORKDAYS(DATEVALUE("26-Nov-2025"),DATEVALUE("2025-11-28")),"N/A")</f>
        <v/>
      </c>
    </row>
    <row r="95" ht="15" customHeight="1" s="52">
      <c r="B95" s="62" t="n">
        <v>100089</v>
      </c>
      <c r="C95" s="62" t="inlineStr">
        <is>
          <t>Mountain</t>
        </is>
      </c>
      <c r="D95" s="62">
        <f>IFERROR(PROPER(TRIM(CLEAN(C95))),"Unknown")</f>
        <v/>
      </c>
      <c r="E95" s="62" t="inlineStr">
        <is>
          <t>Summit Carriers</t>
        </is>
      </c>
      <c r="F95" s="62">
        <f>IFERROR(PROPER(TRIM(CLEAN(E95))),"Unknown")</f>
        <v/>
      </c>
      <c r="G95" s="62" t="inlineStr">
        <is>
          <t>Failed - Wrong Address</t>
        </is>
      </c>
      <c r="H95" s="62">
        <f>IFERROR(PROPER(TRIM(CLEAN(G95))),"Unknown")</f>
        <v/>
      </c>
      <c r="I95" s="64">
        <f>IFERROR(NETWORKDAYS(DATEVALUE("10/11/2025"),DATEVALUE("10/16/2025")),"N/A")</f>
        <v/>
      </c>
    </row>
    <row r="96" ht="15" customHeight="1" s="52">
      <c r="B96" s="62" t="n">
        <v>100090</v>
      </c>
      <c r="C96" s="62" t="inlineStr">
        <is>
          <t xml:space="preserve">  Mid-Atlantic  </t>
        </is>
      </c>
      <c r="D96" s="62">
        <f>IFERROR(PROPER(TRIM(CLEAN(C96))),"Unknown")</f>
        <v/>
      </c>
      <c r="E96" s="62" t="inlineStr">
        <is>
          <t>COASTAL EXPRESS</t>
        </is>
      </c>
      <c r="F96" s="62">
        <f>IFERROR(PROPER(TRIM(CLEAN(E96))),"Unknown")</f>
        <v/>
      </c>
      <c r="G96" s="62" t="inlineStr">
        <is>
          <t>delivered</t>
        </is>
      </c>
      <c r="H96" s="62">
        <f>IFERROR(PROPER(TRIM(CLEAN(G96))),"Unknown")</f>
        <v/>
      </c>
      <c r="I96" s="64">
        <f>IFERROR(NETWORKDAYS(DATEVALUE("2025-10-04"),DATEVALUE("10/06/2025")),"N/A")</f>
        <v/>
      </c>
    </row>
    <row r="97" ht="15" customHeight="1" s="52">
      <c r="B97" s="62" t="n">
        <v>100091</v>
      </c>
      <c r="C97" s="62" t="inlineStr">
        <is>
          <t>Northeast</t>
        </is>
      </c>
      <c r="D97" s="62">
        <f>IFERROR(PROPER(TRIM(CLEAN(C97))),"Unknown")</f>
        <v/>
      </c>
      <c r="E97" s="62" t="inlineStr">
        <is>
          <t>northline logistics</t>
        </is>
      </c>
      <c r="F97" s="62">
        <f>IFERROR(PROPER(TRIM(CLEAN(E97))),"Unknown")</f>
        <v/>
      </c>
      <c r="G97" s="62" t="inlineStr">
        <is>
          <t xml:space="preserve">  Delivered  </t>
        </is>
      </c>
      <c r="H97" s="62">
        <f>IFERROR(PROPER(TRIM(CLEAN(G97))),"Unknown")</f>
        <v/>
      </c>
      <c r="I97" s="64">
        <f>IFERROR(NETWORKDAYS(DATEVALUE("30-Nov-2025"),DATEVALUE("12/05/2025")),"N/A")</f>
        <v/>
      </c>
    </row>
    <row r="98" ht="15" customHeight="1" s="52">
      <c r="B98" s="62" t="n">
        <v>100092</v>
      </c>
      <c r="C98" s="62" t="inlineStr">
        <is>
          <t>Mountain</t>
        </is>
      </c>
      <c r="D98" s="62">
        <f>IFERROR(PROPER(TRIM(CLEAN(C98))),"Unknown")</f>
        <v/>
      </c>
      <c r="E98" s="62" t="inlineStr">
        <is>
          <t>Apex Freight</t>
        </is>
      </c>
      <c r="F98" s="62">
        <f>IFERROR(PROPER(TRIM(CLEAN(E98))),"Unknown")</f>
        <v/>
      </c>
      <c r="G98" s="62" t="inlineStr">
        <is>
          <t>delivered</t>
        </is>
      </c>
      <c r="H98" s="62">
        <f>IFERROR(PROPER(TRIM(CLEAN(G98))),"Unknown")</f>
        <v/>
      </c>
      <c r="I98" s="64">
        <f>IFERROR(NETWORKDAYS(DATEVALUE("2025-11-30"),DATEVALUE("03-Dec-2025")),"N/A")</f>
        <v/>
      </c>
    </row>
    <row r="99" ht="15" customHeight="1" s="52">
      <c r="B99" s="62" t="n">
        <v>100093</v>
      </c>
      <c r="C99" s="62" t="inlineStr">
        <is>
          <t>Pacific Northwest</t>
        </is>
      </c>
      <c r="D99" s="62">
        <f>IFERROR(PROPER(TRIM(CLEAN(C99))),"Unknown")</f>
        <v/>
      </c>
      <c r="E99" s="62" t="inlineStr">
        <is>
          <t>summit carriers</t>
        </is>
      </c>
      <c r="F99" s="62">
        <f>IFERROR(PROPER(TRIM(CLEAN(E99))),"Unknown")</f>
        <v/>
      </c>
      <c r="G99" s="62" t="inlineStr">
        <is>
          <t>Delivered</t>
        </is>
      </c>
      <c r="H99" s="62">
        <f>IFERROR(PROPER(TRIM(CLEAN(G99))),"Unknown")</f>
        <v/>
      </c>
      <c r="I99" s="64">
        <f>IFERROR(NETWORKDAYS(DATEVALUE("06-Nov-2025"),DATEVALUE("10-Nov-2025")),"N/A")</f>
        <v/>
      </c>
    </row>
    <row r="100" ht="15" customHeight="1" s="52">
      <c r="B100" s="62" t="n">
        <v>100094</v>
      </c>
      <c r="C100" s="62" t="inlineStr">
        <is>
          <t>Mid-Atlantic</t>
        </is>
      </c>
      <c r="D100" s="62">
        <f>IFERROR(PROPER(TRIM(CLEAN(C100))),"Unknown")</f>
        <v/>
      </c>
      <c r="E100" s="62" t="inlineStr">
        <is>
          <t>Apex Freight</t>
        </is>
      </c>
      <c r="F100" s="62">
        <f>IFERROR(PROPER(TRIM(CLEAN(E100))),"Unknown")</f>
        <v/>
      </c>
      <c r="G100" s="62" t="inlineStr">
        <is>
          <t>Delivered - Late</t>
        </is>
      </c>
      <c r="H100" s="62">
        <f>IFERROR(PROPER(TRIM(CLEAN(G100))),"Unknown")</f>
        <v/>
      </c>
      <c r="I100" s="64">
        <f>IFERROR(NETWORKDAYS(DATEVALUE("11/21/2025"),DATEVALUE("26-Nov-2025")),"N/A")</f>
        <v/>
      </c>
    </row>
    <row r="101" ht="15" customHeight="1" s="52">
      <c r="B101" s="62" t="n">
        <v>100095</v>
      </c>
      <c r="C101" s="62" t="inlineStr">
        <is>
          <t>Mid-Atlantic</t>
        </is>
      </c>
      <c r="D101" s="62">
        <f>IFERROR(PROPER(TRIM(CLEAN(C101))),"Unknown")</f>
        <v/>
      </c>
      <c r="E101" s="62" t="inlineStr">
        <is>
          <t>Summit Carriers</t>
        </is>
      </c>
      <c r="F101" s="62">
        <f>IFERROR(PROPER(TRIM(CLEAN(E101))),"Unknown")</f>
        <v/>
      </c>
      <c r="G101" s="62" t="inlineStr">
        <is>
          <t>Delivered</t>
        </is>
      </c>
      <c r="H101" s="62">
        <f>IFERROR(PROPER(TRIM(CLEAN(G101))),"Unknown")</f>
        <v/>
      </c>
      <c r="I101" s="64">
        <f>IFERROR(NETWORKDAYS(DATEVALUE("2025-12-20"),DATEVALUE("12/24/2025")),"N/A")</f>
        <v/>
      </c>
    </row>
    <row r="102" ht="15" customHeight="1" s="52">
      <c r="B102" s="62" t="n">
        <v>100096</v>
      </c>
      <c r="C102" s="62" t="inlineStr">
        <is>
          <t>Mountain</t>
        </is>
      </c>
      <c r="D102" s="62">
        <f>IFERROR(PROPER(TRIM(CLEAN(C102))),"Unknown")</f>
        <v/>
      </c>
      <c r="E102" s="62" t="inlineStr">
        <is>
          <t>apex freight</t>
        </is>
      </c>
      <c r="F102" s="62">
        <f>IFERROR(PROPER(TRIM(CLEAN(E102))),"Unknown")</f>
        <v/>
      </c>
      <c r="G102" s="62" t="inlineStr">
        <is>
          <t>Delivered</t>
        </is>
      </c>
      <c r="H102" s="62">
        <f>IFERROR(PROPER(TRIM(CLEAN(G102))),"Unknown")</f>
        <v/>
      </c>
      <c r="I102" s="64">
        <f>IFERROR(NETWORKDAYS(DATEVALUE("10/04/2025"),DATEVALUE("10/09/2025")),"N/A")</f>
        <v/>
      </c>
    </row>
    <row r="103" ht="15" customHeight="1" s="52">
      <c r="B103" s="62" t="n">
        <v>100097</v>
      </c>
      <c r="C103" s="62" t="inlineStr">
        <is>
          <t>Pacific Northwest</t>
        </is>
      </c>
      <c r="D103" s="62">
        <f>IFERROR(PROPER(TRIM(CLEAN(C103))),"Unknown")</f>
        <v/>
      </c>
      <c r="E103" s="62" t="inlineStr">
        <is>
          <t xml:space="preserve">  Apex Freight  </t>
        </is>
      </c>
      <c r="F103" s="62">
        <f>IFERROR(PROPER(TRIM(CLEAN(E103))),"Unknown")</f>
        <v/>
      </c>
      <c r="G103" s="62" t="inlineStr">
        <is>
          <t>Delivered</t>
        </is>
      </c>
      <c r="H103" s="62">
        <f>IFERROR(PROPER(TRIM(CLEAN(G103))),"Unknown")</f>
        <v/>
      </c>
      <c r="I103" s="64">
        <f>IFERROR(NETWORKDAYS(DATEVALUE("29-Oct-2025"),DATEVALUE("31-Oct-2025")),"N/A")</f>
        <v/>
      </c>
    </row>
    <row r="104" ht="15" customHeight="1" s="52">
      <c r="B104" s="62" t="n">
        <v>100098</v>
      </c>
      <c r="C104" s="62" t="inlineStr">
        <is>
          <t>West</t>
        </is>
      </c>
      <c r="D104" s="62">
        <f>IFERROR(PROPER(TRIM(CLEAN(C104))),"Unknown")</f>
        <v/>
      </c>
      <c r="E104" s="62" t="inlineStr">
        <is>
          <t>Summit Carriers</t>
        </is>
      </c>
      <c r="F104" s="62">
        <f>IFERROR(PROPER(TRIM(CLEAN(E104))),"Unknown")</f>
        <v/>
      </c>
      <c r="G104" s="62" t="inlineStr">
        <is>
          <t>Delivered</t>
        </is>
      </c>
      <c r="H104" s="62">
        <f>IFERROR(PROPER(TRIM(CLEAN(G104))),"Unknown")</f>
        <v/>
      </c>
      <c r="I104" s="64">
        <f>IFERROR(NETWORKDAYS(DATEVALUE("01-Dec-2025"),DATEVALUE("05-Dec-2025")),"N/A")</f>
        <v/>
      </c>
    </row>
    <row r="105" ht="15" customHeight="1" s="52">
      <c r="B105" s="62" t="n">
        <v>100099</v>
      </c>
      <c r="C105" s="62" t="inlineStr">
        <is>
          <t>Midwest</t>
        </is>
      </c>
      <c r="D105" s="62">
        <f>IFERROR(PROPER(TRIM(CLEAN(C105))),"Unknown")</f>
        <v/>
      </c>
      <c r="E105" s="62" t="inlineStr">
        <is>
          <t>Apex Freight</t>
        </is>
      </c>
      <c r="F105" s="62">
        <f>IFERROR(PROPER(TRIM(CLEAN(E105))),"Unknown")</f>
        <v/>
      </c>
      <c r="G105" s="62" t="inlineStr">
        <is>
          <t>Delivered</t>
        </is>
      </c>
      <c r="H105" s="62">
        <f>IFERROR(PROPER(TRIM(CLEAN(G105))),"Unknown")</f>
        <v/>
      </c>
      <c r="I105" s="64">
        <f>IFERROR(NETWORKDAYS(DATEVALUE("05-Nov-2025"),DATEVALUE("11/09/2025")),"N/A")</f>
        <v/>
      </c>
    </row>
  </sheetData>
  <mergeCells count="1">
    <mergeCell ref="B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B2:G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1" min="1" max="1"/>
    <col width="26" customWidth="1" style="51" min="2" max="2"/>
    <col width="18" customWidth="1" style="51" min="3" max="6"/>
    <col width="40" customWidth="1" style="51" min="7" max="7"/>
  </cols>
  <sheetData>
    <row r="2" ht="17.35" customHeight="1" s="52">
      <c r="B2" s="58" t="inlineStr">
        <is>
          <t>SQL Diagnostic Analysis — Full Dataset (1,000 records)</t>
        </is>
      </c>
    </row>
    <row r="3" ht="15" customHeight="1" s="52">
      <c r="B3" s="59" t="inlineStr">
        <is>
          <t>Queries run against the cleaned delivery dataset via SQL (SQLite). Results below are the actual query outputs.</t>
        </is>
      </c>
    </row>
    <row r="5" ht="15" customHeight="1" s="52">
      <c r="B5" s="74" t="inlineStr">
        <is>
          <t>Headline KPIs</t>
        </is>
      </c>
    </row>
    <row r="6" ht="15" customHeight="1" s="52">
      <c r="B6" s="62" t="inlineStr">
        <is>
          <t>Total records analyzed</t>
        </is>
      </c>
      <c r="C6" s="91" t="n">
        <v>1000</v>
      </c>
    </row>
    <row r="7" ht="15" customHeight="1" s="52">
      <c r="B7" s="62" t="inlineStr">
        <is>
          <t>First-attempt delivery rate</t>
        </is>
      </c>
      <c r="C7" s="92" t="n">
        <v>0.838</v>
      </c>
    </row>
    <row r="8" ht="15" customHeight="1" s="52">
      <c r="B8" s="62" t="inlineStr">
        <is>
          <t>OTIF (On-Time, In-Full)</t>
        </is>
      </c>
      <c r="C8" s="92" t="n">
        <v>0.746</v>
      </c>
    </row>
    <row r="10" ht="15" customHeight="1" s="52">
      <c r="B10" s="74" t="inlineStr">
        <is>
          <t>Query used — First-Attempt Rate</t>
        </is>
      </c>
    </row>
    <row r="11" ht="30" customHeight="1" s="52">
      <c r="B11" s="93" t="inlineStr">
        <is>
          <t>SELECT ROUND(100.0 * SUM(CASE WHEN Delivery_Status IN ('Delivered','Delivered - Late') THEN 1 ELSE 0 END) / COUNT(*), 2) AS first_attempt_pct FROM deliveries;</t>
        </is>
      </c>
    </row>
    <row r="13" ht="15" customHeight="1" s="52">
      <c r="B13" s="74" t="inlineStr">
        <is>
          <t>Query used — OTIF Rate</t>
        </is>
      </c>
    </row>
    <row r="14" ht="30" customHeight="1" s="52">
      <c r="B14" s="93" t="inlineStr">
        <is>
          <t>SELECT ROUND(100.0 * SUM(CASE WHEN Delivery_Status='Delivered' AND Order_Complete='Y' AND date(Actual_Delivery_Date)&lt;=date(Promised_Delivery_Date) THEN 1 ELSE 0 END) / COUNT(*), 2) AS otif_pct FROM deliveries;</t>
        </is>
      </c>
    </row>
    <row r="16" ht="15" customHeight="1" s="52">
      <c r="B16" s="74" t="inlineStr">
        <is>
          <t>Failure Rate by Region × Carrier (worst combinations)</t>
        </is>
      </c>
    </row>
    <row r="17" ht="15" customHeight="1" s="52">
      <c r="B17" s="82" t="inlineStr">
        <is>
          <t>Region</t>
        </is>
      </c>
      <c r="C17" s="82" t="inlineStr">
        <is>
          <t>Carrier</t>
        </is>
      </c>
      <c r="D17" s="82" t="inlineStr">
        <is>
          <t>Total Deliveries</t>
        </is>
      </c>
      <c r="E17" s="82" t="inlineStr">
        <is>
          <t>Failures</t>
        </is>
      </c>
      <c r="F17" s="82" t="inlineStr">
        <is>
          <t>Failure Rate %</t>
        </is>
      </c>
    </row>
    <row r="18" ht="15" customHeight="1" s="52">
      <c r="B18" s="94" t="inlineStr">
        <is>
          <t>Southwest</t>
        </is>
      </c>
      <c r="C18" s="64" t="inlineStr">
        <is>
          <t>Coastal Express</t>
        </is>
      </c>
      <c r="D18" s="64" t="n">
        <v>35</v>
      </c>
      <c r="E18" s="64" t="n">
        <v>16</v>
      </c>
      <c r="F18" s="95" t="n">
        <v>0.4571</v>
      </c>
    </row>
    <row r="19" ht="15" customHeight="1" s="52">
      <c r="B19" s="94" t="inlineStr">
        <is>
          <t>Southeast</t>
        </is>
      </c>
      <c r="C19" s="64" t="inlineStr">
        <is>
          <t>Coastal Express</t>
        </is>
      </c>
      <c r="D19" s="64" t="n">
        <v>37</v>
      </c>
      <c r="E19" s="64" t="n">
        <v>11</v>
      </c>
      <c r="F19" s="95" t="n">
        <v>0.2973</v>
      </c>
    </row>
    <row r="20" ht="15" customHeight="1" s="52">
      <c r="B20" s="94" t="inlineStr">
        <is>
          <t>Mountain</t>
        </is>
      </c>
      <c r="C20" s="64" t="inlineStr">
        <is>
          <t>Coastal Express</t>
        </is>
      </c>
      <c r="D20" s="64" t="n">
        <v>27</v>
      </c>
      <c r="E20" s="64" t="n">
        <v>8</v>
      </c>
      <c r="F20" s="95" t="n">
        <v>0.2963</v>
      </c>
    </row>
    <row r="21" ht="15" customHeight="1" s="52">
      <c r="B21" s="94" t="inlineStr">
        <is>
          <t>Mid-Atlantic</t>
        </is>
      </c>
      <c r="C21" s="64" t="inlineStr">
        <is>
          <t>Northline Logistics</t>
        </is>
      </c>
      <c r="D21" s="64" t="n">
        <v>26</v>
      </c>
      <c r="E21" s="64" t="n">
        <v>7</v>
      </c>
      <c r="F21" s="95" t="n">
        <v>0.2692</v>
      </c>
    </row>
    <row r="22" ht="15" customHeight="1" s="52">
      <c r="B22" s="94" t="inlineStr">
        <is>
          <t>Midwest</t>
        </is>
      </c>
      <c r="C22" s="64" t="inlineStr">
        <is>
          <t>Coastal Express</t>
        </is>
      </c>
      <c r="D22" s="64" t="n">
        <v>36</v>
      </c>
      <c r="E22" s="64" t="n">
        <v>8</v>
      </c>
      <c r="F22" s="95" t="n">
        <v>0.2222</v>
      </c>
    </row>
    <row r="23" ht="15" customHeight="1" s="52">
      <c r="B23" s="94" t="inlineStr">
        <is>
          <t>Midwest</t>
        </is>
      </c>
      <c r="C23" s="64" t="inlineStr">
        <is>
          <t>Northline Logistics</t>
        </is>
      </c>
      <c r="D23" s="64" t="n">
        <v>18</v>
      </c>
      <c r="E23" s="64" t="n">
        <v>4</v>
      </c>
      <c r="F23" s="95" t="n">
        <v>0.2222</v>
      </c>
    </row>
    <row r="24" ht="15" customHeight="1" s="52">
      <c r="B24" s="94" t="inlineStr">
        <is>
          <t>West</t>
        </is>
      </c>
      <c r="C24" s="64" t="inlineStr">
        <is>
          <t>Northline Logistics</t>
        </is>
      </c>
      <c r="D24" s="64" t="n">
        <v>27</v>
      </c>
      <c r="E24" s="64" t="n">
        <v>6</v>
      </c>
      <c r="F24" s="95" t="n">
        <v>0.2222</v>
      </c>
    </row>
    <row r="25" ht="15" customHeight="1" s="52">
      <c r="B25" s="94" t="inlineStr">
        <is>
          <t>West</t>
        </is>
      </c>
      <c r="C25" s="64" t="inlineStr">
        <is>
          <t>Coastal Express</t>
        </is>
      </c>
      <c r="D25" s="64" t="n">
        <v>31</v>
      </c>
      <c r="E25" s="64" t="n">
        <v>6</v>
      </c>
      <c r="F25" s="95" t="n">
        <v>0.1935</v>
      </c>
    </row>
    <row r="27" ht="15" customHeight="1" s="52">
      <c r="B27" s="74" t="inlineStr">
        <is>
          <t>Root Cause Breakdown (of all failures)</t>
        </is>
      </c>
    </row>
    <row r="28" ht="15" customHeight="1" s="52">
      <c r="B28" s="82" t="inlineStr">
        <is>
          <t>Failure Reason</t>
        </is>
      </c>
      <c r="C28" s="82" t="inlineStr">
        <is>
          <t>Count</t>
        </is>
      </c>
      <c r="D28" s="82" t="inlineStr">
        <is>
          <t>% of Failures</t>
        </is>
      </c>
    </row>
    <row r="29" ht="15" customHeight="1" s="52">
      <c r="B29" s="94" t="inlineStr">
        <is>
          <t>CARRIER_DELAY</t>
        </is>
      </c>
      <c r="C29" s="64" t="n">
        <v>83</v>
      </c>
      <c r="D29" s="95" t="n">
        <v>0.5123</v>
      </c>
    </row>
    <row r="30" ht="15" customHeight="1" s="52">
      <c r="B30" s="94" t="inlineStr">
        <is>
          <t>ADDR_ERR</t>
        </is>
      </c>
      <c r="C30" s="64" t="n">
        <v>63</v>
      </c>
      <c r="D30" s="95" t="n">
        <v>0.3889</v>
      </c>
    </row>
    <row r="31" ht="15" customHeight="1" s="52">
      <c r="B31" s="94" t="inlineStr">
        <is>
          <t>CUST_UNAVAIL</t>
        </is>
      </c>
      <c r="C31" s="64" t="n">
        <v>16</v>
      </c>
      <c r="D31" s="95" t="n">
        <v>0.0988</v>
      </c>
    </row>
    <row r="33" ht="15" customHeight="1" s="52">
      <c r="B33" s="74" t="inlineStr">
        <is>
          <t>Lead Time Variance by Carrier (days, ship-to-delivery)</t>
        </is>
      </c>
    </row>
    <row r="34" ht="15" customHeight="1" s="52">
      <c r="B34" s="82" t="inlineStr">
        <is>
          <t>Carrier</t>
        </is>
      </c>
      <c r="C34" s="82" t="inlineStr">
        <is>
          <t>Avg Lead Time (days)</t>
        </is>
      </c>
      <c r="D34" s="82" t="inlineStr">
        <is>
          <t>Std Dev (days)</t>
        </is>
      </c>
      <c r="E34" s="82" t="inlineStr">
        <is>
          <t>Deliveries</t>
        </is>
      </c>
    </row>
    <row r="35" ht="15" customHeight="1" s="52">
      <c r="B35" s="94" t="inlineStr">
        <is>
          <t>Apex Freight</t>
        </is>
      </c>
      <c r="C35" s="64" t="n">
        <v>3.19</v>
      </c>
      <c r="D35" s="64" t="n">
        <v>1.37</v>
      </c>
      <c r="E35" s="64" t="n">
        <v>220</v>
      </c>
    </row>
    <row r="36" ht="15" customHeight="1" s="52">
      <c r="B36" s="94" t="inlineStr">
        <is>
          <t>Coastal Express</t>
        </is>
      </c>
      <c r="C36" s="64" t="n">
        <v>3.05</v>
      </c>
      <c r="D36" s="64" t="n">
        <v>1.43</v>
      </c>
      <c r="E36" s="64" t="n">
        <v>186</v>
      </c>
    </row>
    <row r="37" ht="15" customHeight="1" s="52">
      <c r="B37" s="94" t="inlineStr">
        <is>
          <t>Northline Logistics</t>
        </is>
      </c>
      <c r="C37" s="64" t="n">
        <v>3.24</v>
      </c>
      <c r="D37" s="64" t="n">
        <v>1.49</v>
      </c>
      <c r="E37" s="64" t="n">
        <v>193</v>
      </c>
    </row>
    <row r="38" ht="15" customHeight="1" s="52">
      <c r="B38" s="94" t="inlineStr">
        <is>
          <t>Summit Carriers</t>
        </is>
      </c>
      <c r="C38" s="64" t="n">
        <v>3.02</v>
      </c>
      <c r="D38" s="64" t="n">
        <v>1.31</v>
      </c>
      <c r="E38" s="64" t="n">
        <v>239</v>
      </c>
    </row>
  </sheetData>
  <mergeCells count="3">
    <mergeCell ref="B3:G3"/>
    <mergeCell ref="B14:G14"/>
    <mergeCell ref="B11:G11"/>
  </mergeCells>
  <conditionalFormatting sqref="F18:F25">
    <cfRule type="colorScale" priority="2">
      <colorScale>
        <cfvo type="min" val="0"/>
        <cfvo type="max" val="0"/>
        <color rgb="FFC6EFCE"/>
        <color rgb="FFFFC7CE"/>
      </colorScale>
    </cfRule>
  </conditionalFormatting>
  <printOptions horizontalCentered="0" verticalCentered="0" headings="0" gridLines="0" gridLinesSet="1"/>
  <pageMargins left="0.3" right="0.3" top="0.3" bottom="0.3" header="0.5" footer="0.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2026-07-07T23:54:15Z</dcterms:created>
  <dcterms:modified xmlns:dcterms="http://purl.org/dc/terms/" xmlns:xsi="http://www.w3.org/2001/XMLSchema-instance" xsi:type="dcterms:W3CDTF">2026-07-09T01:21:38Z</dcterms:modified>
  <cp:revision>2</cp:revision>
</cp:coreProperties>
</file>